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류" sheetId="1" state="visible" r:id="rId3"/>
    <sheet name="이야기" sheetId="2" state="visible" r:id="rId4"/>
    <sheet name="요약" sheetId="3" state="visible" r:id="rId5"/>
    <sheet name="정답 없음" sheetId="4" state="visible" r:id="rId6"/>
  </sheets>
  <definedNames>
    <definedName function="false" hidden="true" localSheetId="0" name="_xlnm._FilterDatabase" vbProcedure="false">분류!$A$1:$N$1131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<sst xmlns="http://schemas.openxmlformats.org/spreadsheetml/2006/main" count="12810" uniqueCount="2449">
  <si>
    <t xml:space="preserve">번호</t>
  </si>
  <si>
    <t xml:space="preserve">카테고리</t>
  </si>
  <si>
    <t xml:space="preserve">세부 카테고리</t>
  </si>
  <si>
    <t xml:space="preserve">질문</t>
  </si>
  <si>
    <t xml:space="preserve">정답</t>
  </si>
  <si>
    <t xml:space="preserve">AnswerKind</t>
  </si>
  <si>
    <t xml:space="preserve">확신</t>
  </si>
  <si>
    <t xml:space="preserve">난이도</t>
  </si>
  <si>
    <t xml:space="preserve">난이도 근거</t>
  </si>
  <si>
    <t xml:space="preserve">storyID</t>
  </si>
  <si>
    <t xml:space="preserve">마디 번호</t>
  </si>
  <si>
    <t xml:space="preserve">마디 이름</t>
  </si>
  <si>
    <t xml:space="preserve">orderInChapter</t>
  </si>
  <si>
    <t xml:space="preserve">구성</t>
  </si>
  <si>
    <t xml:space="preserve">역사</t>
  </si>
  <si>
    <t xml:space="preserve">고조선</t>
  </si>
  <si>
    <r>
      <rPr>
        <sz val="10"/>
        <rFont val="Noto Sans CJK SC"/>
        <family val="2"/>
      </rPr>
      <t xml:space="preserve">고조선의 건국이념은 무엇입니까</t>
    </r>
    <r>
      <rPr>
        <sz val="10"/>
        <rFont val="Arial"/>
        <family val="0"/>
        <charset val="1"/>
      </rPr>
      <t xml:space="preserve">?</t>
    </r>
  </si>
  <si>
    <t xml:space="preserve">홍익인간</t>
  </si>
  <si>
    <t xml:space="preserve">heritage</t>
  </si>
  <si>
    <t xml:space="preserve">낮음</t>
  </si>
  <si>
    <t xml:space="preserve">하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</si>
  <si>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</si>
  <si>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time</t>
  </si>
  <si>
    <t xml:space="preserve">나라가 처음 열리다</t>
  </si>
  <si>
    <t xml:space="preserve">쉬움</t>
  </si>
  <si>
    <r>
      <rPr>
        <sz val="10"/>
        <rFont val="Noto Sans CJK SC"/>
        <family val="2"/>
      </rPr>
      <t xml:space="preserve">한국의 최초 국가 이름은 무엇입니까</t>
    </r>
    <r>
      <rPr>
        <sz val="10"/>
        <rFont val="Arial"/>
        <family val="0"/>
        <charset val="1"/>
      </rPr>
      <t xml:space="preserve">?</t>
    </r>
  </si>
  <si>
    <t xml:space="preserve">place</t>
  </si>
  <si>
    <t xml:space="preserve">높음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</si>
  <si>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</si>
  <si>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 나라에 최초의 국가인 고조선을 세운 사람은 누구입니까</t>
    </r>
    <r>
      <rPr>
        <sz val="10"/>
        <rFont val="Arial"/>
        <family val="0"/>
        <charset val="1"/>
      </rPr>
      <t xml:space="preserve">?</t>
    </r>
  </si>
  <si>
    <t xml:space="preserve">단군왕검</t>
  </si>
  <si>
    <t xml:space="preserve">person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</si>
  <si>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</si>
  <si>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도읍지를 아사달로 삼아 고조선을 세운 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</si>
  <si>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</si>
  <si>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고조선의 건국이념인 홍익인간의 뜻은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</si>
  <si>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널리 인간을 이롭게 한다</t>
    </r>
    <r>
      <rPr>
        <sz val="10"/>
        <rFont val="Arial"/>
        <family val="0"/>
        <charset val="1"/>
      </rPr>
      <t xml:space="preserve">.</t>
    </r>
  </si>
  <si>
    <t xml:space="preserve">meaning</t>
  </si>
  <si>
    <t xml:space="preserve">중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</si>
  <si>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</si>
  <si>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어려움</t>
  </si>
  <si>
    <r>
      <rPr>
        <sz val="10"/>
        <rFont val="Noto Sans CJK SC"/>
        <family val="2"/>
      </rPr>
      <t xml:space="preserve">단군신화를 전하는 민족의 시조 단군의 기록은 어디에 담겨있는가</t>
    </r>
    <r>
      <rPr>
        <sz val="10"/>
        <rFont val="Arial"/>
        <family val="0"/>
        <charset val="1"/>
      </rPr>
      <t xml:space="preserve">?</t>
    </r>
  </si>
  <si>
    <t xml:space="preserve">삼국유사</t>
  </si>
  <si>
    <t xml:space="preserve">보통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</si>
  <si>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</si>
  <si>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널리 인간을 이롭게 한다는 뜻을 가진 고조선의 건국이념은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</si>
  <si>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</si>
  <si>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민족의 시조 단군에 관한 신화로 ‘삼국유사’를 통해 전해지는 신화는 무엇입니까</t>
    </r>
    <r>
      <rPr>
        <sz val="10"/>
        <rFont val="Arial"/>
        <family val="0"/>
        <charset val="1"/>
      </rPr>
      <t xml:space="preserve">?</t>
    </r>
  </si>
  <si>
    <t xml:space="preserve">단군신화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</si>
  <si>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</si>
  <si>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우리나라 역사상 최초의 국가로 기원전 </t>
    </r>
    <r>
      <rPr>
        <sz val="10"/>
        <rFont val="Arial"/>
        <family val="0"/>
        <charset val="1"/>
      </rPr>
      <t xml:space="preserve">2333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일에 세워진 나라의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</si>
  <si>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</si>
  <si>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천제인 환인의 손자이며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환웅의 아들로 서기전 </t>
    </r>
    <r>
      <rPr>
        <sz val="10"/>
        <rFont val="Arial"/>
        <family val="0"/>
        <charset val="1"/>
      </rPr>
      <t xml:space="preserve">2333</t>
    </r>
    <r>
      <rPr>
        <sz val="10"/>
        <rFont val="Noto Sans CJK SC"/>
        <family val="2"/>
      </rPr>
      <t xml:space="preserve">년 아사달에 도읍을 정한 고조선을 세운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</si>
  <si>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</si>
  <si>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단군의 출생과 고조선에 대한 신화로 곰이 쑥과 마늘을 먹고 사람이 되어 환웅과 결혼을 해서 아들 낳았다는 이야기의 신화는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</si>
  <si>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</si>
  <si>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아사달에 도읍을 정하고 우리나라에 최초의 고조선이라는 나라를 세웠으며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민족의 시조로서 천제인 환인의 손자이며 환웅의 아들인 이 사람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</si>
  <si>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</si>
  <si>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삼국시대</t>
  </si>
  <si>
    <r>
      <rPr>
        <sz val="10"/>
        <rFont val="Noto Sans CJK SC"/>
        <family val="2"/>
      </rPr>
      <t xml:space="preserve">살수대첩에서 수나라 군대를 물리친 사람은 누구입니까</t>
    </r>
    <r>
      <rPr>
        <sz val="10"/>
        <rFont val="Arial"/>
        <family val="0"/>
        <charset val="1"/>
      </rPr>
      <t xml:space="preserve">?</t>
    </r>
  </si>
  <si>
    <t xml:space="preserve">을지문덕 장군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</si>
  <si>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</si>
  <si>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세 나라가 겨루다</t>
  </si>
  <si>
    <r>
      <rPr>
        <sz val="10"/>
        <rFont val="Noto Sans CJK SC"/>
        <family val="2"/>
      </rPr>
      <t xml:space="preserve">고구려를 세운 주몽의 아들이며 백제의 시조는 누구입니까</t>
    </r>
    <r>
      <rPr>
        <sz val="10"/>
        <rFont val="Arial"/>
        <family val="0"/>
        <charset val="1"/>
      </rPr>
      <t xml:space="preserve">?</t>
    </r>
  </si>
  <si>
    <t xml:space="preserve">온조왕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</si>
  <si>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</si>
  <si>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삼국시대 세 나라 중 영남을 중심으로 세운 나라는 어디입니까</t>
    </r>
    <r>
      <rPr>
        <sz val="10"/>
        <rFont val="Arial"/>
        <family val="0"/>
        <charset val="1"/>
      </rPr>
      <t xml:space="preserve">?</t>
    </r>
  </si>
  <si>
    <t xml:space="preserve">신라</t>
  </si>
  <si>
    <r>
      <rPr>
        <sz val="10"/>
        <rFont val="Noto Sans CJK SC"/>
        <family val="2"/>
      </rPr>
      <t xml:space="preserve">삼국시대 세 나라 중 북쪽에 위치했던 군주제 국가는 어디입니까</t>
    </r>
    <r>
      <rPr>
        <sz val="10"/>
        <rFont val="Arial"/>
        <family val="0"/>
        <charset val="1"/>
      </rPr>
      <t xml:space="preserve">?</t>
    </r>
  </si>
  <si>
    <t xml:space="preserve">고구려</t>
  </si>
  <si>
    <r>
      <rPr>
        <sz val="10"/>
        <rFont val="Noto Sans CJK SC"/>
        <family val="2"/>
      </rPr>
      <t xml:space="preserve">광개토대왕의 주요 업적은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</si>
  <si>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거란 정벌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후연 정벌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동부여 정벌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남진 정책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왜구 격퇴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</si>
  <si>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</si>
  <si>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고구려를 세운 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이며 활을 잘 쏘았던 사람은 누구입니까</t>
    </r>
    <r>
      <rPr>
        <sz val="10"/>
        <rFont val="Arial"/>
        <family val="0"/>
        <charset val="1"/>
      </rPr>
      <t xml:space="preserve">?</t>
    </r>
  </si>
  <si>
    <t xml:space="preserve">주몽</t>
  </si>
  <si>
    <r>
      <rPr>
        <sz val="10"/>
        <rFont val="Noto Sans CJK SC"/>
        <family val="2"/>
      </rPr>
      <t xml:space="preserve">광개토대왕이 정복 사업을 벌여 만주로 영토를 크게 확장시킨 나라를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</si>
  <si>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</si>
  <si>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고구려 시대에 정복 사업을 벌여 만주로 영토를 크게 확장시킨 왕은 누구입니까</t>
    </r>
    <r>
      <rPr>
        <sz val="10"/>
        <rFont val="Arial"/>
        <family val="0"/>
        <charset val="1"/>
      </rPr>
      <t xml:space="preserve">?</t>
    </r>
  </si>
  <si>
    <t xml:space="preserve">광개토대왕</t>
  </si>
  <si>
    <r>
      <rPr>
        <sz val="10"/>
        <rFont val="Noto Sans CJK SC"/>
        <family val="2"/>
      </rPr>
      <t xml:space="preserve">삼국시대 중 화랑제도를 정비하였고 한국 최초의 통일을 이룬 나라는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</si>
  <si>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고구려의 문화재를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</si>
  <si>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광개토대왕릉비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무용총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수산리 고분 등</t>
    </r>
  </si>
  <si>
    <t xml:space="preserve">list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</si>
  <si>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</si>
  <si>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북진정책으로 영토를 크게 넓혀 가장 넓은 영토를 차지한 고구려의 왕은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</si>
  <si>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</si>
  <si>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 선덕여왕 때 세워진 천문대로 동양에서 가장 오래된 천문대의 이름은 무엇입니까</t>
    </r>
    <r>
      <rPr>
        <sz val="10"/>
        <rFont val="Arial"/>
        <family val="0"/>
        <charset val="1"/>
      </rPr>
      <t xml:space="preserve">?</t>
    </r>
  </si>
  <si>
    <t xml:space="preserve">첨성대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</si>
  <si>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</si>
  <si>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불교를 도입하고 태학을 설립하였으며 고구려의 전성기의 기틀을 마련한 왕은 누구입니까</t>
    </r>
    <r>
      <rPr>
        <sz val="10"/>
        <rFont val="Arial"/>
        <family val="0"/>
        <charset val="1"/>
      </rPr>
      <t xml:space="preserve">?</t>
    </r>
  </si>
  <si>
    <t xml:space="preserve">소수림왕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</si>
  <si>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</si>
  <si>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 선덕여왕 때 세운 천문 기상 관측대로 천체의 움직임을 관찰하는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</si>
  <si>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신라 주요 문화재를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</si>
  <si>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첨성대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분황사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모전석탑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왕릉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</si>
  <si>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</si>
  <si>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고구려 제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대 왕으로 도읍을 평양으로 옮기고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남하 정책을 추진한 사람은 누구입니까</t>
    </r>
    <r>
      <rPr>
        <sz val="10"/>
        <rFont val="Arial"/>
        <family val="0"/>
        <charset val="1"/>
      </rPr>
      <t xml:space="preserve">?</t>
    </r>
  </si>
  <si>
    <t xml:space="preserve">장수왕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</si>
  <si>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</si>
  <si>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 제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대 왕으로 불교를 나라의 종교로 인정하고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왕권을 강화한 인물은 누구입니까</t>
    </r>
    <r>
      <rPr>
        <sz val="10"/>
        <rFont val="Arial"/>
        <family val="0"/>
        <charset val="1"/>
      </rPr>
      <t xml:space="preserve">?</t>
    </r>
  </si>
  <si>
    <t xml:space="preserve">법흥왕</t>
  </si>
  <si>
    <r>
      <rPr>
        <sz val="10"/>
        <rFont val="Noto Sans CJK SC"/>
        <family val="2"/>
      </rPr>
      <t xml:space="preserve">신라 진흥왕 때 인재 양성을 목적으로 청소년으로 조직되었던 수양단체의 이름은 무엇입니까</t>
    </r>
    <r>
      <rPr>
        <sz val="10"/>
        <rFont val="Arial"/>
        <family val="0"/>
        <charset val="1"/>
      </rPr>
      <t xml:space="preserve">?</t>
    </r>
  </si>
  <si>
    <t xml:space="preserve">화랑도</t>
  </si>
  <si>
    <r>
      <rPr>
        <sz val="10"/>
        <rFont val="Noto Sans CJK SC"/>
        <family val="2"/>
      </rPr>
      <t xml:space="preserve">신라를 세운 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알에서 태어나 나라를 세웠다는 신화가 있는 인물은 누구입니까</t>
    </r>
    <r>
      <rPr>
        <sz val="10"/>
        <rFont val="Arial"/>
        <family val="0"/>
        <charset val="1"/>
      </rPr>
      <t xml:space="preserve">?</t>
    </r>
  </si>
  <si>
    <t xml:space="preserve">박혁거세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</si>
  <si>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</si>
  <si>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백제의 주요 문화재를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</si>
  <si>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정림사지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층 석탑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미륵사지 석탑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 기와 등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</si>
  <si>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</si>
  <si>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신라 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대 왕으로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전성기를 맞아 삼국통일의 기반을 마련한 인물은 누구입니까</t>
    </r>
    <r>
      <rPr>
        <sz val="10"/>
        <rFont val="Arial"/>
        <family val="0"/>
        <charset val="1"/>
      </rPr>
      <t xml:space="preserve">?</t>
    </r>
  </si>
  <si>
    <t xml:space="preserve">진흥왕</t>
  </si>
  <si>
    <r>
      <rPr>
        <sz val="10"/>
        <rFont val="Noto Sans CJK SC"/>
        <family val="2"/>
      </rPr>
      <t xml:space="preserve">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세 나라가 함께 발전하며 대립하고 교류하던 시대를 무엇이라고 부릅니까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</si>
  <si>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</si>
  <si>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신라의 청소년 수련 단체로 꽃처럼 아름다운 남성 무리라는 뜻을 가진 이 단체의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</si>
  <si>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</si>
  <si>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백제의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대 왕으로 고구려의 남평양을 빼앗고 한성을 도읍으로 하여 백제의 전성기를 이끈 인물은 누구입니까</t>
    </r>
    <r>
      <rPr>
        <sz val="10"/>
        <rFont val="Arial"/>
        <family val="0"/>
        <charset val="1"/>
      </rPr>
      <t xml:space="preserve">?</t>
    </r>
  </si>
  <si>
    <t xml:space="preserve">근초고왕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</si>
  <si>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(60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</si>
  <si>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삼국시대의 세 나라의 이름을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</si>
  <si>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</si>
  <si>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</si>
  <si>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해상 무역의 발달로 삼국 중 가장 먼저 전성기를 맞았고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중국과 교류하며 일본 문화에도 많은 영향을 준 나라는 무엇입니까</t>
    </r>
    <r>
      <rPr>
        <sz val="10"/>
        <rFont val="Arial"/>
        <family val="0"/>
        <charset val="1"/>
      </rPr>
      <t xml:space="preserve">?</t>
    </r>
  </si>
  <si>
    <t xml:space="preserve">백제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</si>
  <si>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</si>
  <si>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광개토대왕 때 한강 유역까지 영토를 확장시켜 한국 역사상 가장 넓은 영토를 차지하며 전성기를 맞이한 나라는 어떤 나라입니까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</si>
  <si>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</si>
  <si>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삼국 시대의 삼국 중 가장 먼저 전성기를 맞이한 나라로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중국과 교류하는 등과 같이 해상을 통한 무역과 외교활동으로 발전한 나라는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</si>
  <si>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</si>
  <si>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 제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대 왕으로 인재 양성을 위해 화랑제도를 정비하였으며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백제와 힘을 합쳐 고구려를 공격하여 한강 상류 지역을 차지하고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불교 교단을 정비하여 사상적 통합을 도모한 왕은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</si>
  <si>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</si>
  <si>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우리나라 최초의 국가는 고조선이고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후에 한반도에서는 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 등이 삼국이 세워졌습니다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고구려를 세운 왕은 주몽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백제를 세운 왕은 온조인데 삼국시대 때 신라를 세운 왕은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</si>
  <si>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(112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</si>
  <si>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남북국시대</t>
  </si>
  <si>
    <r>
      <rPr>
        <sz val="10"/>
        <rFont val="Noto Sans CJK SC"/>
        <family val="2"/>
      </rPr>
      <t xml:space="preserve">삼국통일에 최고의 공을 세운 신라시대의 장군은 누구입니까</t>
    </r>
    <r>
      <rPr>
        <sz val="10"/>
        <rFont val="Arial"/>
        <family val="0"/>
        <charset val="1"/>
      </rPr>
      <t xml:space="preserve">?</t>
    </r>
  </si>
  <si>
    <t xml:space="preserve">김유신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</si>
  <si>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</si>
  <si>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하나로 합쳐지다</t>
  </si>
  <si>
    <r>
      <rPr>
        <sz val="10"/>
        <rFont val="Noto Sans CJK SC"/>
        <family val="2"/>
      </rPr>
      <t xml:space="preserve">신라가 삼국을 통일하고 대조영이 발해를 건국한 때를 뭐라고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</si>
  <si>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</si>
  <si>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통일신라 시대 화랑 출신으로 삼국통일에 공을 세운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</si>
  <si>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옛 고구려 장수로 고구려 유민과 말갈족을 거느리고 발해를 세운 왕은 누구입니까</t>
    </r>
    <r>
      <rPr>
        <sz val="10"/>
        <rFont val="Arial"/>
        <family val="0"/>
        <charset val="1"/>
      </rPr>
      <t xml:space="preserve">?</t>
    </r>
  </si>
  <si>
    <t xml:space="preserve">대조영</t>
  </si>
  <si>
    <r>
      <rPr>
        <sz val="10"/>
        <rFont val="Noto Sans CJK SC"/>
        <family val="2"/>
      </rPr>
      <t xml:space="preserve">통일신라의 성립과정을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</si>
  <si>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국 중 신라는 가장 늦게 국가로서의 모양새를 갖추었지만</t>
    </r>
    <r>
      <rPr>
        <sz val="10"/>
        <rFont val="Arial"/>
        <family val="0"/>
        <charset val="1"/>
      </rPr>
      <t xml:space="preserve">, 6</t>
    </r>
    <r>
      <rPr>
        <sz val="10"/>
        <rFont val="Noto Sans CJK SC"/>
        <family val="2"/>
      </rPr>
      <t xml:space="preserve">세기 무렵부터 화랑도를 만들어 많은 인재를 키웠으며 한국 최초의 통일을 이루었습니다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</si>
  <si>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고구려 유민으로 만주에서 발해를 세워 고구려의 기상 문화를 이어간 왕은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</si>
  <si>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김춘추를 도와 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신라를 통일하는 데 가장 큰 공을 세운 사람은 누구입니까</t>
    </r>
    <r>
      <rPr>
        <sz val="10"/>
        <rFont val="Arial"/>
        <family val="0"/>
        <charset val="1"/>
      </rPr>
      <t xml:space="preserve">?</t>
    </r>
  </si>
  <si>
    <t xml:space="preserve">바다 동쪽의 전성기를 맞이한 나라’라는 뜻으로 당나라에서 발해로 불렸던 이름은 무엇입니까</t>
  </si>
  <si>
    <t xml:space="preserve">해동성국</t>
  </si>
  <si>
    <r>
      <rPr>
        <sz val="10"/>
        <rFont val="Noto Sans CJK SC"/>
        <family val="2"/>
      </rPr>
      <t xml:space="preserve">완도에 청해진을 설치하고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당나라와 일본을 상대로 해상 무역을 주도하였던 사람은 누구입니까</t>
    </r>
    <r>
      <rPr>
        <sz val="10"/>
        <rFont val="Arial"/>
        <family val="0"/>
        <charset val="1"/>
      </rPr>
      <t xml:space="preserve">?</t>
    </r>
  </si>
  <si>
    <t xml:space="preserve">장보고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</si>
  <si>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</si>
  <si>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통일신라의 대표적 유물을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</si>
  <si>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첨성대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불국사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다보탑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석가탑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석굴암 등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</si>
  <si>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</si>
  <si>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신라의 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대 왕으로 김춘추의 아들이며 고구려를 멸망시키며 삼국 통일을 이룬 사람은 누구인가</t>
    </r>
    <r>
      <rPr>
        <sz val="10"/>
        <rFont val="Arial"/>
        <family val="0"/>
        <charset val="1"/>
      </rPr>
      <t xml:space="preserve">?</t>
    </r>
  </si>
  <si>
    <t xml:space="preserve">문무왕</t>
  </si>
  <si>
    <r>
      <rPr>
        <sz val="10"/>
        <rFont val="Noto Sans CJK SC"/>
        <family val="2"/>
      </rPr>
      <t xml:space="preserve">고구려가 멸망한 후 대조영이 고구려 사람들을 이끌고 옛 고구려 땅인 만주에서 세운 나라는 무엇입니까</t>
    </r>
    <r>
      <rPr>
        <sz val="10"/>
        <rFont val="Arial"/>
        <family val="0"/>
        <charset val="1"/>
      </rPr>
      <t xml:space="preserve">?</t>
    </r>
  </si>
  <si>
    <t xml:space="preserve">발해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</si>
  <si>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</si>
  <si>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신라의 제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대 왕인 태종무열왕으로 김유신과 함께 백제를 멸망시키며 삼국 통일의 기반을 닦은 사람은 누구인가</t>
    </r>
    <r>
      <rPr>
        <sz val="10"/>
        <rFont val="Arial"/>
        <family val="0"/>
        <charset val="1"/>
      </rPr>
      <t xml:space="preserve">?</t>
    </r>
  </si>
  <si>
    <t xml:space="preserve">김춘추</t>
  </si>
  <si>
    <r>
      <rPr>
        <sz val="10"/>
        <rFont val="Noto Sans CJK SC"/>
        <family val="2"/>
      </rPr>
      <t xml:space="preserve">삼국 통일 이후의 신라를 말하며 불교문화를 크게 발전시켰으며 서역과의 활발한 교류를 통해 번성했던 시대는 무엇입니까</t>
    </r>
    <r>
      <rPr>
        <sz val="10"/>
        <rFont val="Arial"/>
        <family val="0"/>
        <charset val="1"/>
      </rPr>
      <t xml:space="preserve">?</t>
    </r>
  </si>
  <si>
    <t xml:space="preserve">통일신라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</si>
  <si>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</si>
  <si>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고구려의 영토 대부분과 연해주를 당나라로 ‘해동성국’이라 불리며 옛 고구려의 영토에 대조영이 세운 나라의 이름은 무엇입니까</t>
    </r>
    <r>
      <rPr>
        <sz val="10"/>
        <rFont val="Arial"/>
        <family val="0"/>
        <charset val="1"/>
      </rPr>
      <t xml:space="preserve">?</t>
    </r>
  </si>
  <si>
    <t xml:space="preserve">후삼국시대</t>
  </si>
  <si>
    <r>
      <rPr>
        <sz val="10"/>
        <rFont val="Noto Sans CJK SC"/>
        <family val="2"/>
      </rPr>
      <t xml:space="preserve">통일 신라 이후 옛 고구려에 후고구려를 이끈 왕은</t>
    </r>
    <r>
      <rPr>
        <sz val="10"/>
        <rFont val="Arial"/>
        <family val="0"/>
        <charset val="1"/>
      </rPr>
      <t xml:space="preserve">?</t>
    </r>
  </si>
  <si>
    <t xml:space="preserve">궁예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</si>
  <si>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</si>
  <si>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다시 갈라지다</t>
  </si>
  <si>
    <r>
      <rPr>
        <sz val="10"/>
        <rFont val="Noto Sans CJK SC"/>
        <family val="2"/>
      </rPr>
      <t xml:space="preserve">통일 신라 이후 옛 백제 지역에 후백제를 이끈 왕은</t>
    </r>
    <r>
      <rPr>
        <sz val="10"/>
        <rFont val="Arial"/>
        <family val="0"/>
        <charset val="1"/>
      </rPr>
      <t xml:space="preserve">?</t>
    </r>
  </si>
  <si>
    <t xml:space="preserve">견훤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</si>
  <si>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</si>
  <si>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고려시대</t>
  </si>
  <si>
    <r>
      <rPr>
        <sz val="10"/>
        <rFont val="Noto Sans CJK SC"/>
        <family val="2"/>
      </rPr>
      <t xml:space="preserve">고려의 문신으로 거란의 침략을 막아낸 영웅은 누구입니까</t>
    </r>
    <r>
      <rPr>
        <sz val="10"/>
        <rFont val="Arial"/>
        <family val="0"/>
        <charset val="1"/>
      </rPr>
      <t xml:space="preserve">?</t>
    </r>
  </si>
  <si>
    <t xml:space="preserve">강감찬 장군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</si>
  <si>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</si>
  <si>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고려가 서다</t>
  </si>
  <si>
    <r>
      <rPr>
        <sz val="10"/>
        <rFont val="Noto Sans CJK SC"/>
        <family val="2"/>
      </rPr>
      <t xml:space="preserve">고려시대 만들어진 ‘삼국사기’를 만든 사람은 누구입니까</t>
    </r>
    <r>
      <rPr>
        <sz val="10"/>
        <rFont val="Arial"/>
        <family val="0"/>
        <charset val="1"/>
      </rPr>
      <t xml:space="preserve">?</t>
    </r>
  </si>
  <si>
    <t xml:space="preserve">김부식</t>
  </si>
  <si>
    <r>
      <rPr>
        <sz val="10"/>
        <rFont val="Noto Sans CJK SC"/>
        <family val="2"/>
      </rPr>
      <t xml:space="preserve">고려시대에 만들어진 ‘삼국사기’는 누구에 의해 편찬되었습니까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</si>
  <si>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후고구려의 궁예를 물리치고 </t>
    </r>
    <r>
      <rPr>
        <sz val="10"/>
        <rFont val="Arial"/>
        <family val="0"/>
        <charset val="1"/>
      </rPr>
      <t xml:space="preserve">918</t>
    </r>
    <r>
      <rPr>
        <sz val="10"/>
        <rFont val="Noto Sans CJK SC"/>
        <family val="2"/>
      </rPr>
      <t xml:space="preserve">년 고려를 세운 왕은 누구입니까</t>
    </r>
    <r>
      <rPr>
        <sz val="10"/>
        <rFont val="Arial"/>
        <family val="0"/>
        <charset val="1"/>
      </rPr>
      <t xml:space="preserve">?</t>
    </r>
  </si>
  <si>
    <t xml:space="preserve">왕건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</si>
  <si>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</si>
  <si>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고려의 성립과정을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</si>
  <si>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왕건은 후삼국을 통일하고 고려를 세워 민족통일을 다시 이루었으며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북진정책을 추진하면서 나라 이름도 옛 고구려의 영토를 회복하겠다는 뜻을 담아 ‘고려’라고 지었다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</si>
  <si>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고려의 학자 김부식이 삼국시대의 역사를 정리해 만든 책은 무엇입니까</t>
    </r>
    <r>
      <rPr>
        <sz val="10"/>
        <rFont val="Arial"/>
        <family val="0"/>
        <charset val="1"/>
      </rPr>
      <t xml:space="preserve">?</t>
    </r>
  </si>
  <si>
    <t xml:space="preserve">삼국사기</t>
  </si>
  <si>
    <r>
      <rPr>
        <sz val="10"/>
        <rFont val="Noto Sans CJK SC"/>
        <family val="2"/>
      </rPr>
      <t xml:space="preserve">고려의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 왕으로 고려를 세우고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후삼국을 통일한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</si>
  <si>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</si>
  <si>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세계인이 부르는 대한민국의 이름 ‘코리아’는 어떤 나라에서 유래되었습니까</t>
    </r>
    <r>
      <rPr>
        <sz val="10"/>
        <rFont val="Arial"/>
        <family val="0"/>
        <charset val="1"/>
      </rPr>
      <t xml:space="preserve">?</t>
    </r>
  </si>
  <si>
    <t xml:space="preserve">고려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</si>
  <si>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</si>
  <si>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고려시대 무역항으로 중국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아라비아 상인들과 무역을 했던 곳은 어디입니까</t>
    </r>
    <r>
      <rPr>
        <sz val="10"/>
        <rFont val="Arial"/>
        <family val="0"/>
        <charset val="1"/>
      </rPr>
      <t xml:space="preserve">?</t>
    </r>
  </si>
  <si>
    <t xml:space="preserve">벽란도</t>
  </si>
  <si>
    <r>
      <rPr>
        <sz val="10"/>
        <rFont val="Noto Sans CJK SC"/>
        <family val="2"/>
      </rPr>
      <t xml:space="preserve">고려시대의 문화재를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</si>
  <si>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팔만대장경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직지심체요절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고려청자 등</t>
    </r>
  </si>
  <si>
    <r>
      <rPr>
        <sz val="10"/>
        <rFont val="Noto Sans CJK SC"/>
        <family val="2"/>
      </rPr>
      <t xml:space="preserve">고려시대의 문신으로 원나라에 갔다가 목화씨를 가져와 전국에 보급한 사람은 누구입니까</t>
    </r>
    <r>
      <rPr>
        <sz val="10"/>
        <rFont val="Arial"/>
        <family val="0"/>
        <charset val="1"/>
      </rPr>
      <t xml:space="preserve">?</t>
    </r>
  </si>
  <si>
    <t xml:space="preserve">문익점</t>
  </si>
  <si>
    <r>
      <rPr>
        <sz val="10"/>
        <rFont val="Noto Sans CJK SC"/>
        <family val="2"/>
      </rPr>
      <t xml:space="preserve">후삼국을 통일하고 세운 나라로 고구려의 옛 땅을 회복한다는 뜻으로 지은 나라의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</si>
  <si>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고려시대 말의 학자이며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원나라에서 목화씨를 가지고 고려인의 의생활에 많은 영향을 준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</si>
  <si>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</si>
  <si>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고려의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 왕으로 고려를 세워 어지러운 사회를 바로잡고 갈라져 있는 나라를 다시 통일한 왕은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</si>
  <si>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</si>
  <si>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우리나라가 ‘코리아’가 된 유래는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</si>
  <si>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외국인들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아라비아 상인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에게 ‘고려’라는 발음이 어려워 ‘코리아’가 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</si>
  <si>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</si>
  <si>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조선시대</t>
  </si>
  <si>
    <r>
      <rPr>
        <sz val="10"/>
        <rFont val="Noto Sans CJK SC"/>
        <family val="2"/>
      </rPr>
      <t xml:space="preserve">조선시대의 통치이념은 무엇입니까</t>
    </r>
    <r>
      <rPr>
        <sz val="10"/>
        <rFont val="Arial"/>
        <family val="0"/>
        <charset val="1"/>
      </rPr>
      <t xml:space="preserve">?</t>
    </r>
  </si>
  <si>
    <t xml:space="preserve">유교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</si>
  <si>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</si>
  <si>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조선 오백 년</t>
  </si>
  <si>
    <r>
      <rPr>
        <sz val="10"/>
        <rFont val="Noto Sans CJK SC"/>
        <family val="2"/>
      </rPr>
      <t xml:space="preserve">조선 후기에 김정호가 만든 한반도 지도는 무엇입니까</t>
    </r>
    <r>
      <rPr>
        <sz val="10"/>
        <rFont val="Arial"/>
        <family val="0"/>
        <charset val="1"/>
      </rPr>
      <t xml:space="preserve">?</t>
    </r>
  </si>
  <si>
    <t xml:space="preserve">대동여지도</t>
  </si>
  <si>
    <t xml:space="preserve">event</t>
  </si>
  <si>
    <r>
      <rPr>
        <sz val="10"/>
        <rFont val="Noto Sans CJK SC"/>
        <family val="2"/>
      </rPr>
      <t xml:space="preserve">지금의 서울을 말하며 조선의 도읍지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어디입니까</t>
    </r>
    <r>
      <rPr>
        <sz val="10"/>
        <rFont val="Arial"/>
        <family val="0"/>
        <charset val="1"/>
      </rPr>
      <t xml:space="preserve">?</t>
    </r>
  </si>
  <si>
    <t xml:space="preserve">한양</t>
  </si>
  <si>
    <r>
      <rPr>
        <sz val="10"/>
        <rFont val="Noto Sans CJK SC"/>
        <family val="2"/>
      </rPr>
      <t xml:space="preserve">조선 후기 실학자로 목민심서의 저자인 사람은 누구입니까</t>
    </r>
    <r>
      <rPr>
        <sz val="10"/>
        <rFont val="Arial"/>
        <family val="0"/>
        <charset val="1"/>
      </rPr>
      <t xml:space="preserve">?</t>
    </r>
  </si>
  <si>
    <t xml:space="preserve">정약용</t>
  </si>
  <si>
    <r>
      <rPr>
        <sz val="10"/>
        <rFont val="Noto Sans CJK SC"/>
        <family val="2"/>
      </rPr>
      <t xml:space="preserve">조선의 건국과정을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</si>
  <si>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이성계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태조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한양을 도읍으로 옮기고 나라에 대한 충성과 부모에 대한 효도를 중요하게 생각하는 유교를 정치이념으로 조선을 세웠습니다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조선은 군자의 나라입니다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</si>
  <si>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조선 세종 때 궁중에 설치한 학문 연구 기관은 무엇입니까</t>
    </r>
    <r>
      <rPr>
        <sz val="10"/>
        <rFont val="Arial"/>
        <family val="0"/>
        <charset val="1"/>
      </rPr>
      <t xml:space="preserve">?</t>
    </r>
  </si>
  <si>
    <t xml:space="preserve">집현전</t>
  </si>
  <si>
    <r>
      <rPr>
        <sz val="10"/>
        <rFont val="Noto Sans CJK SC"/>
        <family val="2"/>
      </rPr>
      <t xml:space="preserve">조선시대 발명품으로 비의 양을 측정하는 도구는 무엇입니까</t>
    </r>
    <r>
      <rPr>
        <sz val="10"/>
        <rFont val="Arial"/>
        <family val="0"/>
        <charset val="1"/>
      </rPr>
      <t xml:space="preserve">?</t>
    </r>
  </si>
  <si>
    <t xml:space="preserve">측우기</t>
  </si>
  <si>
    <r>
      <rPr>
        <sz val="10"/>
        <rFont val="Noto Sans CJK SC"/>
        <family val="2"/>
      </rPr>
      <t xml:space="preserve">임진왜란 때 행주 대첩에서 승리를 이끈 장군은 무엇입니까</t>
    </r>
    <r>
      <rPr>
        <sz val="10"/>
        <rFont val="Arial"/>
        <family val="0"/>
        <charset val="1"/>
      </rPr>
      <t xml:space="preserve">?</t>
    </r>
  </si>
  <si>
    <t xml:space="preserve">권율 장군</t>
  </si>
  <si>
    <r>
      <rPr>
        <sz val="10"/>
        <rFont val="Noto Sans CJK SC"/>
        <family val="2"/>
      </rPr>
      <t xml:space="preserve">조선시대 과학기구로 비가 내린 양을 재는 기구는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</si>
  <si>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한국의 세계유산을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</si>
  <si>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종묘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불국사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수원화성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석굴암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남한산성</t>
    </r>
  </si>
  <si>
    <r>
      <rPr>
        <sz val="10"/>
        <rFont val="Noto Sans CJK SC"/>
        <family val="2"/>
      </rPr>
      <t xml:space="preserve">충무공 이순신이 임진왜란 때 진중에서 쓴 일기는 무엇입니까</t>
    </r>
    <r>
      <rPr>
        <sz val="10"/>
        <rFont val="Arial"/>
        <family val="0"/>
        <charset val="1"/>
      </rPr>
      <t xml:space="preserve">?</t>
    </r>
  </si>
  <si>
    <t xml:space="preserve">난중일기</t>
  </si>
  <si>
    <r>
      <rPr>
        <sz val="10"/>
        <rFont val="Noto Sans CJK SC"/>
        <family val="2"/>
      </rPr>
      <t xml:space="preserve">근데 국가에 걸맞은 제도를 만들기 위해 추진한 개혁은 무엇입니까</t>
    </r>
    <r>
      <rPr>
        <sz val="10"/>
        <rFont val="Arial"/>
        <family val="0"/>
        <charset val="1"/>
      </rPr>
      <t xml:space="preserve">?</t>
    </r>
  </si>
  <si>
    <t xml:space="preserve">갑오개혁</t>
  </si>
  <si>
    <r>
      <rPr>
        <sz val="10"/>
        <rFont val="Noto Sans CJK SC"/>
        <family val="2"/>
      </rPr>
      <t xml:space="preserve">백성들이 잘살고 나라가 튼튼해지는 방법을 연구한 학문은 무엇입니까</t>
    </r>
    <r>
      <rPr>
        <sz val="10"/>
        <rFont val="Arial"/>
        <family val="0"/>
        <charset val="1"/>
      </rPr>
      <t xml:space="preserve">?</t>
    </r>
  </si>
  <si>
    <t xml:space="preserve">실학</t>
  </si>
  <si>
    <r>
      <rPr>
        <sz val="10"/>
        <rFont val="Arial"/>
        <family val="0"/>
        <charset val="1"/>
      </rPr>
      <t xml:space="preserve">1592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~ 1598</t>
    </r>
    <r>
      <rPr>
        <sz val="10"/>
        <rFont val="Noto Sans CJK SC"/>
        <family val="2"/>
      </rPr>
      <t xml:space="preserve">년 일본의 침략으로 일어난 전쟁은 무엇입니까</t>
    </r>
    <r>
      <rPr>
        <sz val="10"/>
        <rFont val="Arial"/>
        <family val="0"/>
        <charset val="1"/>
      </rPr>
      <t xml:space="preserve">?</t>
    </r>
  </si>
  <si>
    <t xml:space="preserve">임진왜란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</si>
  <si>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대문은 어떤 것들이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</si>
  <si>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동대문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흥인지문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보물 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서대문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돈의문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의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대문 중 유일하게 사라짐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남대문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숭례문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국보 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북대문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숙정문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사람이 다니지 않음</t>
    </r>
  </si>
  <si>
    <r>
      <rPr>
        <sz val="10"/>
        <rFont val="Noto Sans CJK SC"/>
        <family val="2"/>
      </rPr>
      <t xml:space="preserve">임진왜란 때 권율이 행주산성에서 왜군을 크게 물리친 싸움은 무엇입니까</t>
    </r>
    <r>
      <rPr>
        <sz val="10"/>
        <rFont val="Arial"/>
        <family val="0"/>
        <charset val="1"/>
      </rPr>
      <t xml:space="preserve">?</t>
    </r>
  </si>
  <si>
    <t xml:space="preserve">행주대첩</t>
  </si>
  <si>
    <r>
      <rPr>
        <sz val="10"/>
        <rFont val="Noto Sans CJK SC"/>
        <family val="2"/>
      </rPr>
      <t xml:space="preserve">조선 후기 실생활에 도움이 되는 방법을 연구한 실용적 학문은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</si>
  <si>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</si>
  <si>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조선의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 왕으로 한양을 도읍으로 정하고 조선을 세운 이물은 누구입니까</t>
    </r>
    <r>
      <rPr>
        <sz val="10"/>
        <rFont val="Arial"/>
        <family val="0"/>
        <charset val="1"/>
      </rPr>
      <t xml:space="preserve">?</t>
    </r>
  </si>
  <si>
    <t xml:space="preserve">이성계</t>
  </si>
  <si>
    <r>
      <rPr>
        <sz val="10"/>
        <rFont val="Noto Sans CJK SC"/>
        <family val="2"/>
      </rPr>
      <t xml:space="preserve">이순신 장군이 왜적을 물리치기 위해 만든 거북 모양의 전투선은 무엇입니까</t>
    </r>
    <r>
      <rPr>
        <sz val="10"/>
        <rFont val="Arial"/>
        <family val="0"/>
        <charset val="1"/>
      </rPr>
      <t xml:space="preserve">?</t>
    </r>
  </si>
  <si>
    <t xml:space="preserve">거북선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</si>
  <si>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대문은 언제 누가 만들었나요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</si>
  <si>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조선을 건국한 태조 이성계가 도읍을 한양으로 옮긴 뒤 주변에 성곽을 쌓고 동서남북에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대문을 설치함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</si>
  <si>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임진왜란 때 진주성의 조선군과 백성들이 일본군을 물리친 싸움은 무엇입니까</t>
    </r>
    <r>
      <rPr>
        <sz val="10"/>
        <rFont val="Arial"/>
        <family val="0"/>
        <charset val="1"/>
      </rPr>
      <t xml:space="preserve">?</t>
    </r>
  </si>
  <si>
    <t xml:space="preserve">진주대첩</t>
  </si>
  <si>
    <r>
      <rPr>
        <sz val="10"/>
        <rFont val="Noto Sans CJK SC"/>
        <family val="2"/>
      </rPr>
      <t xml:space="preserve">조선시대 과학기구로 해의 그림자에 따라 시간을 알려주는 해시계는 무엇입니까</t>
    </r>
    <r>
      <rPr>
        <sz val="10"/>
        <rFont val="Arial"/>
        <family val="0"/>
        <charset val="1"/>
      </rPr>
      <t xml:space="preserve">?</t>
    </r>
  </si>
  <si>
    <t xml:space="preserve">앙부일구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</si>
  <si>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</si>
  <si>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조선시대 과학기구로 천체의 운행과 위치를 측정하는 천문 관측기구는 무엇입니까</t>
    </r>
    <r>
      <rPr>
        <sz val="10"/>
        <rFont val="Arial"/>
        <family val="0"/>
        <charset val="1"/>
      </rPr>
      <t xml:space="preserve">?</t>
    </r>
  </si>
  <si>
    <t xml:space="preserve">혼천의</t>
  </si>
  <si>
    <r>
      <rPr>
        <sz val="10"/>
        <rFont val="Arial"/>
        <family val="0"/>
        <charset val="1"/>
      </rPr>
      <t xml:space="preserve">1598</t>
    </r>
    <r>
      <rPr>
        <sz val="10"/>
        <rFont val="Noto Sans CJK SC"/>
        <family val="2"/>
      </rPr>
      <t xml:space="preserve">년 임진왜란의 마지막 싸움으로 이순신 장군이 전사한 해전은 무엇입니까</t>
    </r>
    <r>
      <rPr>
        <sz val="10"/>
        <rFont val="Arial"/>
        <family val="0"/>
        <charset val="1"/>
      </rPr>
      <t xml:space="preserve">?</t>
    </r>
  </si>
  <si>
    <t xml:space="preserve">노량대첩</t>
  </si>
  <si>
    <r>
      <rPr>
        <sz val="10"/>
        <rFont val="Noto Sans CJK SC"/>
        <family val="2"/>
      </rPr>
      <t xml:space="preserve">조선 문화유산에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</si>
  <si>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훈민정음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측우기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자격루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양부일구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혼천의 등이 있으며 조선 최고의 법전인 경국대전이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</si>
  <si>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백성들의 억울한 일을 해결하여 줄 목적으로 대궐 밖에 달았던 북은 무엇입니까</t>
    </r>
    <r>
      <rPr>
        <sz val="10"/>
        <rFont val="Arial"/>
        <family val="0"/>
        <charset val="1"/>
      </rPr>
      <t xml:space="preserve">?</t>
    </r>
  </si>
  <si>
    <t xml:space="preserve">신문고</t>
  </si>
  <si>
    <r>
      <rPr>
        <sz val="10"/>
        <rFont val="Noto Sans CJK SC"/>
        <family val="2"/>
      </rPr>
      <t xml:space="preserve">수도를 개성에서 한양 지금의 서울로 옮기고 조선을 세운 왕의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</si>
  <si>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1895</t>
    </r>
    <r>
      <rPr>
        <sz val="10"/>
        <rFont val="Noto Sans CJK SC"/>
        <family val="2"/>
      </rPr>
      <t xml:space="preserve">년 일본 자객들이 경복궁을 습격하여 명성황후를 시해한 사건은 무엇입니까</t>
    </r>
    <r>
      <rPr>
        <sz val="10"/>
        <rFont val="Arial"/>
        <family val="0"/>
        <charset val="1"/>
      </rPr>
      <t xml:space="preserve">?</t>
    </r>
  </si>
  <si>
    <t xml:space="preserve">을미사변</t>
  </si>
  <si>
    <r>
      <rPr>
        <sz val="10"/>
        <rFont val="Noto Sans CJK SC"/>
        <family val="2"/>
      </rPr>
      <t xml:space="preserve">백성들의 억울한 일을 해결하여 줄 목적으로 대궐 밖에 달았던 신문고는 무엇입니까</t>
    </r>
    <r>
      <rPr>
        <sz val="10"/>
        <rFont val="Arial"/>
        <family val="0"/>
        <charset val="1"/>
      </rPr>
      <t xml:space="preserve">?</t>
    </r>
  </si>
  <si>
    <t xml:space="preserve">북</t>
  </si>
  <si>
    <r>
      <rPr>
        <sz val="10"/>
        <rFont val="Noto Sans CJK SC"/>
        <family val="2"/>
      </rPr>
      <t xml:space="preserve">임진왜란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대첩의 이름을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</si>
  <si>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한산도대첩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행주대첩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진주대첩</t>
    </r>
  </si>
  <si>
    <r>
      <rPr>
        <sz val="10"/>
        <rFont val="Noto Sans CJK SC"/>
        <family val="2"/>
      </rPr>
      <t xml:space="preserve">조선시대 자격루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양부일구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측우기 등의 발명품을 만든 과학자의 이름은 무엇입니까</t>
    </r>
    <r>
      <rPr>
        <sz val="10"/>
        <rFont val="Arial"/>
        <family val="0"/>
        <charset val="1"/>
      </rPr>
      <t xml:space="preserve">?</t>
    </r>
  </si>
  <si>
    <t xml:space="preserve">장영실</t>
  </si>
  <si>
    <r>
      <rPr>
        <sz val="10"/>
        <rFont val="Noto Sans CJK SC"/>
        <family val="2"/>
      </rPr>
      <t xml:space="preserve">조선시대 과학기구로 물의 흐름을 이용해 자동으로 시간을 알려주는 물시계는 무엇입니까</t>
    </r>
    <r>
      <rPr>
        <sz val="10"/>
        <rFont val="Arial"/>
        <family val="0"/>
        <charset val="1"/>
      </rPr>
      <t xml:space="preserve">?</t>
    </r>
  </si>
  <si>
    <t xml:space="preserve">자격루</t>
  </si>
  <si>
    <r>
      <rPr>
        <sz val="10"/>
        <rFont val="Arial"/>
        <family val="0"/>
        <charset val="1"/>
      </rPr>
      <t xml:space="preserve">1592</t>
    </r>
    <r>
      <rPr>
        <sz val="10"/>
        <rFont val="Noto Sans CJK SC"/>
        <family val="2"/>
      </rPr>
      <t xml:space="preserve">년 한산도 앞바다에서 조선 수군이 일본 수군을 크게 무찌른 전투는 무엇입니까</t>
    </r>
    <r>
      <rPr>
        <sz val="10"/>
        <rFont val="Arial"/>
        <family val="0"/>
        <charset val="1"/>
      </rPr>
      <t xml:space="preserve">?</t>
    </r>
  </si>
  <si>
    <t xml:space="preserve">한산도대첩</t>
  </si>
  <si>
    <r>
      <rPr>
        <sz val="10"/>
        <rFont val="Noto Sans CJK SC"/>
        <family val="2"/>
      </rPr>
      <t xml:space="preserve">개화파가 개화사상을 바탕으로 조선의 자주독립과 근대화를 목표로 일으킨 정변은 무엇입니까</t>
    </r>
    <r>
      <rPr>
        <sz val="10"/>
        <rFont val="Arial"/>
        <family val="0"/>
        <charset val="1"/>
      </rPr>
      <t xml:space="preserve">?</t>
    </r>
  </si>
  <si>
    <t xml:space="preserve">갑신정변</t>
  </si>
  <si>
    <r>
      <rPr>
        <sz val="10"/>
        <rFont val="Noto Sans CJK SC"/>
        <family val="2"/>
      </rPr>
      <t xml:space="preserve">임진왜란 때 이순신 장군이 일본을 상대로 전투를 치룬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대첩은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</si>
  <si>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한산도 대첩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노량대첩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명량대첩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</si>
  <si>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</si>
  <si>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나라를 다스리는 기준이 된 조선시대의 최고의 법전으로 성종 때 완성이 된 것은 무엇입니까</t>
    </r>
    <r>
      <rPr>
        <sz val="10"/>
        <rFont val="Arial"/>
        <family val="0"/>
        <charset val="1"/>
      </rPr>
      <t xml:space="preserve">?</t>
    </r>
  </si>
  <si>
    <t xml:space="preserve">경국대전</t>
  </si>
  <si>
    <r>
      <rPr>
        <sz val="10"/>
        <rFont val="Noto Sans CJK SC"/>
        <family val="2"/>
      </rPr>
      <t xml:space="preserve">조선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왕으로 훈민정음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창제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과학 기술 및 문화 발전에 힘쓴 왕은 누구입니까</t>
    </r>
    <r>
      <rPr>
        <sz val="10"/>
        <rFont val="Arial"/>
        <family val="0"/>
        <charset val="1"/>
      </rPr>
      <t xml:space="preserve">?</t>
    </r>
  </si>
  <si>
    <t xml:space="preserve">세종대왕</t>
  </si>
  <si>
    <r>
      <rPr>
        <sz val="10"/>
        <rFont val="Noto Sans CJK SC"/>
        <family val="2"/>
      </rPr>
      <t xml:space="preserve">우리나라 최초의 한글 소설로 조선 중기 광해군의 정치가이자 학자였던 허균이 지은 것은 무엇입니까</t>
    </r>
    <r>
      <rPr>
        <sz val="10"/>
        <rFont val="Arial"/>
        <family val="0"/>
        <charset val="1"/>
      </rPr>
      <t xml:space="preserve">?</t>
    </r>
  </si>
  <si>
    <t xml:space="preserve">홍길동전</t>
  </si>
  <si>
    <r>
      <rPr>
        <sz val="10"/>
        <rFont val="Noto Sans CJK SC"/>
        <family val="2"/>
      </rPr>
      <t xml:space="preserve">조선시대 역대 왕과 왕비의 무덤이 보존되어 있는 유적지이며 세계유산으로 지정 받은 것은 무엇입니까</t>
    </r>
    <r>
      <rPr>
        <sz val="10"/>
        <rFont val="Arial"/>
        <family val="0"/>
        <charset val="1"/>
      </rPr>
      <t xml:space="preserve">?</t>
    </r>
  </si>
  <si>
    <t xml:space="preserve">조선왕릉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</si>
  <si>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</si>
  <si>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1905</t>
    </r>
    <r>
      <rPr>
        <sz val="10"/>
        <rFont val="Noto Sans CJK SC"/>
        <family val="2"/>
      </rPr>
      <t xml:space="preserve">년 일본이 대한 제국의 외교권을 박탈하기 위해 강제로 체결한 조약은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</si>
  <si>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을사조약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을사늑약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</si>
  <si>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</si>
  <si>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다른 나라와 관계를 맺지 않고 문호를 굳게 닫아 서로 통하지 않는 쇄국정책을 실시한 사람은 누구입니까</t>
    </r>
    <r>
      <rPr>
        <sz val="10"/>
        <rFont val="Arial"/>
        <family val="0"/>
        <charset val="1"/>
      </rPr>
      <t xml:space="preserve">?</t>
    </r>
  </si>
  <si>
    <t xml:space="preserve">흥선대원군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</si>
  <si>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</si>
  <si>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1592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일본은 명나라로 가는 길을 내어달라는 구실로 조선을 침략하였다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이를 무엇이라 하는가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</si>
  <si>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세종 때에 자영실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김조 등이 만든 시간을 알려주는 기구로 ‘해시계’라고도 부르는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</si>
  <si>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우리나라는 역사가 오래된 나라입니다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대한민국 이외에 과거에 있었던 나라 이름은 한개 이상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</si>
  <si>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조선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</si>
  <si>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</si>
  <si>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임진왜란에서 일본의 침략에 맞서 큰 승리를 거두었고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마지막 전쟁인 노량대첩에서 전사한 인물은 누구입니까</t>
    </r>
    <r>
      <rPr>
        <sz val="10"/>
        <rFont val="Arial"/>
        <family val="0"/>
        <charset val="1"/>
      </rPr>
      <t xml:space="preserve">?</t>
    </r>
  </si>
  <si>
    <t xml:space="preserve">이순신 장군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</si>
  <si>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</si>
  <si>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임진왜란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대첩에서 유명한 장군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 중 거북선을 만들었던 한국 역사상 가장 유명한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</si>
  <si>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 일본의 강압 아래 대한제국의 통치권을 일본에 양여함을 규정한 한국과 일본과의 조약은 무엇입니까</t>
    </r>
    <r>
      <rPr>
        <sz val="10"/>
        <rFont val="Arial"/>
        <family val="0"/>
        <charset val="1"/>
      </rPr>
      <t xml:space="preserve">?</t>
    </r>
  </si>
  <si>
    <t xml:space="preserve">한일병합조약</t>
  </si>
  <si>
    <r>
      <rPr>
        <sz val="10"/>
        <rFont val="Noto Sans CJK SC"/>
        <family val="2"/>
      </rPr>
      <t xml:space="preserve">불교를 배척하고 유교를 숭상하여 정치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문화 분야에 커다란 변화와 영향을 주었던 나라는 무엇입니까</t>
    </r>
    <r>
      <rPr>
        <sz val="10"/>
        <rFont val="Arial"/>
        <family val="0"/>
        <charset val="1"/>
      </rPr>
      <t xml:space="preserve">?</t>
    </r>
  </si>
  <si>
    <t xml:space="preserve">조선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</si>
  <si>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</si>
  <si>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세기 중반부터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세기 초반까지 나라를 다스리거나 사람들이 살아가는 데 도움이 되는 실용적 학문은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</si>
  <si>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 전기 세종 때 과학기술 발전에 큰 공을 세운 과학자로 자격루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혼천의 등 위대한 발명품을 만든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</si>
  <si>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</si>
  <si>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1876</t>
    </r>
    <r>
      <rPr>
        <sz val="10"/>
        <rFont val="Noto Sans CJK SC"/>
        <family val="2"/>
      </rPr>
      <t xml:space="preserve">년 고종 때 조선과 일본 사이에 체결된 조약으로 비교적 최초에 다른 나라와 맺은 불평등 조약인 것은 무엇입니까</t>
    </r>
    <r>
      <rPr>
        <sz val="10"/>
        <rFont val="Arial"/>
        <family val="0"/>
        <charset val="1"/>
      </rPr>
      <t xml:space="preserve">?</t>
    </r>
  </si>
  <si>
    <t xml:space="preserve">강화도 조약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</si>
  <si>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</si>
  <si>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세종대왕이 만들어 반포한 우리나라 고유의 글자이며</t>
    </r>
    <r>
      <rPr>
        <sz val="10"/>
        <rFont val="Arial"/>
        <family val="0"/>
        <charset val="1"/>
      </rPr>
      <t xml:space="preserve">, ‘</t>
    </r>
    <r>
      <rPr>
        <sz val="10"/>
        <rFont val="Noto Sans CJK SC"/>
        <family val="2"/>
      </rPr>
      <t xml:space="preserve">백성을 가르치는 바른 소리’라는 뜻을 가지고 있는 것은 무엇입니까</t>
    </r>
    <r>
      <rPr>
        <sz val="10"/>
        <rFont val="Arial"/>
        <family val="0"/>
        <charset val="1"/>
      </rPr>
      <t xml:space="preserve">?</t>
    </r>
  </si>
  <si>
    <t xml:space="preserve">훈민정음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</si>
  <si>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</si>
  <si>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조선시대 장군으로 ‘난중일기’의 저자이며 임진왜란 때 거북 모양의 전투선인 거북선을 이용하여 왜구를 물리쳤던 장군은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</si>
  <si>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</si>
  <si>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 일본이 한국의 외교권을 박탈하기 위해 강제로 체결한 조약으로 일본이 대한 제국의 외교권을 박탈하기 위해 강제로 체결한 조약은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</si>
  <si>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</si>
  <si>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성종 때 완성된 조선 최고의 법전으로 사회 질서를 유지하고 백성을 다스리는 데 중요한 역할을 하고 생활 전반에 관한 내용이 담겨 있는 책은 무엇입니까</t>
    </r>
    <r>
      <rPr>
        <sz val="10"/>
        <rFont val="Arial"/>
        <family val="0"/>
        <charset val="1"/>
      </rPr>
      <t xml:space="preserve">?</t>
    </r>
  </si>
  <si>
    <t xml:space="preserve">일제강점기</t>
  </si>
  <si>
    <r>
      <rPr>
        <sz val="10"/>
        <rFont val="Noto Sans CJK SC"/>
        <family val="2"/>
      </rPr>
      <t xml:space="preserve">독립운동가인 백범 김구가 쓴 자서전은 무엇입니까</t>
    </r>
    <r>
      <rPr>
        <sz val="10"/>
        <rFont val="Arial"/>
        <family val="0"/>
        <charset val="1"/>
      </rPr>
      <t xml:space="preserve">?</t>
    </r>
  </si>
  <si>
    <t xml:space="preserve">백범일지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</si>
  <si>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</si>
  <si>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나라를 빼앗기다</t>
  </si>
  <si>
    <r>
      <rPr>
        <sz val="10"/>
        <rFont val="Noto Sans CJK SC"/>
        <family val="2"/>
      </rPr>
      <t xml:space="preserve">만주 하얼빈에서 이토 히로부미를 사살하고 순국한 독립운동가는 누구입니까</t>
    </r>
    <r>
      <rPr>
        <sz val="10"/>
        <rFont val="Arial"/>
        <family val="0"/>
        <charset val="1"/>
      </rPr>
      <t xml:space="preserve">?</t>
    </r>
  </si>
  <si>
    <t xml:space="preserve">안중근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</si>
  <si>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당시 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인이 한국의 독립을 선언한 글은 무엇입니까</t>
    </r>
    <r>
      <rPr>
        <sz val="10"/>
        <rFont val="Arial"/>
        <family val="0"/>
        <charset val="1"/>
      </rPr>
      <t xml:space="preserve">?</t>
    </r>
  </si>
  <si>
    <t xml:space="preserve">독립선언서</t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</si>
  <si>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운동에서 민족대표로 나온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인이 대규모 만세운동 전에 낭독한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</si>
  <si>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임시정부에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</si>
  <si>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일본의 탄압에 한반도를 떠나 조국의 광복을 찾을 때까지 임시로 정부를 만들어 일본과 싸우고자 </t>
    </r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중국 상하이에 대한민국 임시정부가 세워졌습니다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</si>
  <si>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훙커우 공원에서 도시락 폭단을 던져 일본군의 주요 인물들을 죽인 독립운동가는 누구입니까</t>
    </r>
    <r>
      <rPr>
        <sz val="10"/>
        <rFont val="Arial"/>
        <family val="0"/>
        <charset val="1"/>
      </rPr>
      <t xml:space="preserve">?</t>
    </r>
  </si>
  <si>
    <t xml:space="preserve">윤봉길</t>
  </si>
  <si>
    <r>
      <rPr>
        <sz val="10"/>
        <rFont val="Noto Sans CJK SC"/>
        <family val="2"/>
      </rPr>
      <t xml:space="preserve">중국 하얼빈에서 우리나라 침략에 앞장섰던 일본 총리 이토 히로부미를 처단한 독립운동가는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</si>
  <si>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독립협회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흥사단에서 독립운동 활동을 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대성학교를 설립한 독립운동가는 누구입니까</t>
    </r>
    <r>
      <rPr>
        <sz val="10"/>
        <rFont val="Arial"/>
        <family val="0"/>
        <charset val="1"/>
      </rPr>
      <t xml:space="preserve">?</t>
    </r>
  </si>
  <si>
    <t xml:space="preserve">안창호</t>
  </si>
  <si>
    <r>
      <rPr>
        <sz val="10"/>
        <rFont val="Noto Sans CJK SC"/>
        <family val="2"/>
      </rPr>
      <t xml:space="preserve">대한민국 임시정부 조직에 참여하고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주석에 선임되었으며 ‘백범일지’ 저서를 남긴 독립운동가는 누구입니까</t>
    </r>
    <r>
      <rPr>
        <sz val="10"/>
        <rFont val="Arial"/>
        <family val="0"/>
        <charset val="1"/>
      </rPr>
      <t xml:space="preserve">?</t>
    </r>
  </si>
  <si>
    <t xml:space="preserve">김구</t>
  </si>
  <si>
    <r>
      <rPr>
        <sz val="10"/>
        <rFont val="Noto Sans CJK SC"/>
        <family val="2"/>
      </rPr>
      <t xml:space="preserve">일본의 식민지배 주요 사건들은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</si>
  <si>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경술국치</t>
    </r>
    <r>
      <rPr>
        <sz val="10"/>
        <rFont val="Arial"/>
        <family val="0"/>
        <charset val="1"/>
      </rPr>
      <t xml:space="preserve">
1919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3.1 </t>
    </r>
    <r>
      <rPr>
        <sz val="10"/>
        <rFont val="Noto Sans CJK SC"/>
        <family val="2"/>
      </rPr>
      <t xml:space="preserve">만세 운동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상해 임시정부 수립 </t>
    </r>
    <r>
      <rPr>
        <sz val="10"/>
        <rFont val="Arial"/>
        <family val="0"/>
        <charset val="1"/>
      </rPr>
      <t xml:space="preserve">
1920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청산리 전투 </t>
    </r>
    <r>
      <rPr>
        <sz val="10"/>
        <rFont val="Arial"/>
        <family val="0"/>
        <charset val="1"/>
      </rPr>
      <t xml:space="preserve">
1931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만주사변 </t>
    </r>
    <r>
      <rPr>
        <sz val="10"/>
        <rFont val="Arial"/>
        <family val="0"/>
        <charset val="1"/>
      </rPr>
      <t xml:space="preserve">
1937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중일전쟁 </t>
    </r>
    <r>
      <rPr>
        <sz val="10"/>
        <rFont val="Arial"/>
        <family val="0"/>
        <charset val="1"/>
      </rPr>
      <t xml:space="preserve">
1940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한국 광복군 창설 </t>
    </r>
    <r>
      <rPr>
        <sz val="10"/>
        <rFont val="Arial"/>
        <family val="0"/>
        <charset val="1"/>
      </rPr>
      <t xml:space="preserve">
1941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태평양 전쟁 </t>
    </r>
    <r>
      <rPr>
        <sz val="10"/>
        <rFont val="Arial"/>
        <family val="0"/>
        <charset val="1"/>
      </rPr>
      <t xml:space="preserve">
1945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광복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</si>
  <si>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</si>
  <si>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일을 시작으로 일본의 식민지 지배에 저항하여 식민통치의 부당함을 알리고자 일어난 운동이었으며 우리나라 전체에서 일어난 자주적인 항일독립 운동입니다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인과 함께 했습니다</t>
    </r>
    <r>
      <rPr>
        <sz val="10"/>
        <rFont val="Arial"/>
        <family val="0"/>
        <charset val="1"/>
      </rPr>
      <t xml:space="preserve">. 33</t>
    </r>
    <r>
      <rPr>
        <sz val="10"/>
        <rFont val="Noto Sans CJK SC"/>
        <family val="2"/>
      </rPr>
      <t xml:space="preserve">인은 독립 선언서를 낭독했습니다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</si>
  <si>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독립운동가 중 김구 선생에 대하여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</si>
  <si>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3.1 </t>
    </r>
    <r>
      <rPr>
        <sz val="10"/>
        <rFont val="Noto Sans CJK SC"/>
        <family val="2"/>
      </rPr>
      <t xml:space="preserve">독립운동 이후 대한민국 임시정부를 만들고 지킨 주역으로 이봉창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윤봉길 등 독립운동가를 양성하였습니다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</si>
  <si>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독립운동가 중 유관순 열사에 대하여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</si>
  <si>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일제 강점기인 </t>
    </r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당시 천안 아우내 장터에서 태극기를 흔들며 대한 독립 만세를 위치는 시위를 이끌었던 독립운동가입니다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</si>
  <si>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</si>
  <si>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독립운동가 중 안중근 의사에 대하여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</si>
  <si>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일제 강점기에 중국 하얼빈역에서 우리나라 침략에 앞장섰던 일본 총리 ‘이토 히로부미’를 처단한 독립 운동가입니다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</si>
  <si>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독립운동가 중 윤봉길 의사에 대하여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</si>
  <si>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훙커우 공원에서 도시락 폭탄을 던져 일본군의 주요 인물들을 죽인 독립운동가입니다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</si>
  <si>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독립운동가 중 도산 안창호에 대하여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</si>
  <si>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독립협회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흥사단에서 독립운동활동을 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대성학교를 설립한 독립운동가입니다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</si>
  <si>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우리나라가 국권을 회복한 날에 대하여 설명해봅시다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</si>
  <si>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일은 우리나라가 일본의 지배에서 벗어나 잃었던 국권을 되찾은 날이다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</si>
  <si>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</si>
  <si>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일제 강점기에 한국은 어떤 일을 겪었는지 말해봅시다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</si>
  <si>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우리나라를 점령한 일본은 강압적인 통치정책을 실시하였다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일본의 식민 지배에 반대하는 사람들을 억압하고 감옥에 가두었다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일본의 이익을 위해 쌀과 자원을 빼앗았으며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세계대전이 일어나자 우리나라 사람을 강제로 군대로 끌고 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심지어 일부 여성들은 일본군의 위안부로 끌려가는 고통을 겪기도 하였다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</si>
  <si>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</si>
  <si>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우리는 일본의 식민 지배를 벗어나기 위하여 무엇을 했나요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</si>
  <si>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일본에 의해 강제로 병합되기 전에도 많은 애국지사와 민중들은 의병을 일으켜 일본과 싸웠고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국민들의 모금으로 일본에 진 나라 빛을 갚아 국권을 되찾고자 한 국채보상운동 등 독립 운동이 끊임 없이 일어났습니다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</si>
  <si>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</si>
  <si>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이후 조국의 광복을 위해 중국 상하이에 세워진 것은 무엇입니까</t>
    </r>
    <r>
      <rPr>
        <sz val="10"/>
        <rFont val="Arial"/>
        <family val="0"/>
        <charset val="1"/>
      </rPr>
      <t xml:space="preserve">?</t>
    </r>
  </si>
  <si>
    <t xml:space="preserve">대한민국 임시정부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</si>
  <si>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</si>
  <si>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독립군 연합 부대가 청산리에서 일본군을 가장 크게 물리친 싸움은 무엇입니까</t>
    </r>
    <r>
      <rPr>
        <sz val="10"/>
        <rFont val="Arial"/>
        <family val="0"/>
        <charset val="1"/>
      </rPr>
      <t xml:space="preserve">?</t>
    </r>
  </si>
  <si>
    <t xml:space="preserve">청산리 대첩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</si>
  <si>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</si>
  <si>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청산리 일대에서 일본을 상대로 승리한 청산리 대첩을 승리로 이끈 장군의 이름은 무엇입니까</t>
    </r>
    <r>
      <rPr>
        <sz val="10"/>
        <rFont val="Arial"/>
        <family val="0"/>
        <charset val="1"/>
      </rPr>
      <t xml:space="preserve">?</t>
    </r>
  </si>
  <si>
    <t xml:space="preserve">김좌진 장군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</si>
  <si>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</si>
  <si>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일본의 식민지 지배에 저항하여 대한독립을 외치던 만세운동을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</si>
  <si>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삼일운동</t>
    </r>
    <r>
      <rPr>
        <sz val="10"/>
        <rFont val="Arial"/>
        <family val="0"/>
        <charset val="1"/>
      </rPr>
      <t xml:space="preserve">)</t>
    </r>
  </si>
  <si>
    <t xml:space="preserve">number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</si>
  <si>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</si>
  <si>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운동을 주도한 독립운동가로 태극기를 나눠주며 시위를 주도하다가 체포되어 옥중에서 순국한 독립운동가는 누구입니까</t>
    </r>
    <r>
      <rPr>
        <sz val="10"/>
        <rFont val="Arial"/>
        <family val="0"/>
        <charset val="1"/>
      </rPr>
      <t xml:space="preserve">?</t>
    </r>
  </si>
  <si>
    <t xml:space="preserve">유관순</t>
  </si>
  <si>
    <r>
      <rPr>
        <sz val="10"/>
        <rFont val="Arial"/>
        <family val="0"/>
        <charset val="1"/>
      </rPr>
      <t xml:space="preserve">3.1 </t>
    </r>
    <r>
      <rPr>
        <sz val="10"/>
        <rFont val="Noto Sans CJK SC"/>
        <family val="2"/>
      </rPr>
      <t xml:space="preserve">독립운동 이후 대한민국 임시정부를 만들고 지킨 주역으로 이봉창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윤봉길 등 독립 운동가를 양성한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</si>
  <si>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때 태극기를 나눠주며 시위를 지휘하다가 일본군에 체포되어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세의 어린 나이에 감옥에서 목숨을 잃은 여성 독립 운동가의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</si>
  <si>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</si>
  <si>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김구선생님이 중국 상하이에서 임시정부를 만들고 윤봉길 이봉창 김좌진 등을 양성하였다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사람들을 양성하여 무엇을 하려고 하였습니까</t>
    </r>
    <r>
      <rPr>
        <sz val="10"/>
        <rFont val="Arial"/>
        <family val="0"/>
        <charset val="1"/>
      </rPr>
      <t xml:space="preserve">?</t>
    </r>
  </si>
  <si>
    <t xml:space="preserve">독립운동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</si>
  <si>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</si>
  <si>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서울 탑골공원에서 수천명의 시민이 모여 태극기를 흔들며 대한 독립만세를 외치며 일제의 압박에 저항했던 대규모 만세운동을 무엇이라고 합니까</t>
    </r>
    <r>
      <rPr>
        <sz val="10"/>
        <rFont val="Arial"/>
        <family val="0"/>
        <charset val="1"/>
      </rPr>
      <t xml:space="preserve">?</t>
    </r>
  </si>
  <si>
    <t xml:space="preserve">상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</si>
  <si>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</si>
  <si>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한국전쟁</t>
  </si>
  <si>
    <r>
      <rPr>
        <sz val="10"/>
        <rFont val="Arial"/>
        <family val="0"/>
        <charset val="1"/>
      </rPr>
      <t xml:space="preserve">6.25 </t>
    </r>
    <r>
      <rPr>
        <sz val="10"/>
        <rFont val="Noto Sans CJK SC"/>
        <family val="2"/>
      </rPr>
      <t xml:space="preserve">이후 한반도의 가운데를 가로질러 설정된 군사분계선은 무엇입니까</t>
    </r>
    <r>
      <rPr>
        <sz val="10"/>
        <rFont val="Arial"/>
        <family val="0"/>
        <charset val="1"/>
      </rPr>
      <t xml:space="preserve">?</t>
    </r>
  </si>
  <si>
    <t xml:space="preserve">휴전선</t>
  </si>
  <si>
    <t xml:space="preserve">전쟁과 갈라진 땅</t>
  </si>
  <si>
    <r>
      <rPr>
        <sz val="10"/>
        <rFont val="Noto Sans CJK SC"/>
        <family val="2"/>
      </rPr>
      <t xml:space="preserve">남북 분단 등의 사정으로 서로 흩어져 만날 수 없게 된 가족을 무엇이라고 합니까</t>
    </r>
    <r>
      <rPr>
        <sz val="10"/>
        <rFont val="Arial"/>
        <family val="0"/>
        <charset val="1"/>
      </rPr>
      <t xml:space="preserve">?</t>
    </r>
  </si>
  <si>
    <t xml:space="preserve">이산가족</t>
  </si>
  <si>
    <r>
      <rPr>
        <sz val="10"/>
        <rFont val="Arial"/>
        <family val="0"/>
        <charset val="1"/>
      </rPr>
      <t xml:space="preserve">1953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6.25</t>
    </r>
    <r>
      <rPr>
        <sz val="10"/>
        <rFont val="Noto Sans CJK SC"/>
        <family val="2"/>
      </rPr>
      <t xml:space="preserve">전쟁 이후 협정에 의해 새로 그어진 남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북한의 경계선을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</si>
  <si>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통일은 어떻게 이뤄져야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</si>
  <si>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통일은 평화적인 방법으로 이루어져야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국민적 합의를 바탕으로 투명하게 추진되어야 합니다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통일에 대한 체계적인 준비를 해야합니다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우호적인 통일 환경 조성을 위해 주변국과의 협력을 강화해야 합니다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자유민주주의 등 국민들의 올바른 통일관이 수반되어야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</si>
  <si>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 역사의 흐름을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</si>
  <si>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고조선 건국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삼국시대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신라 삼국통일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고려 건국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조선 건국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대한제국 임시정부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대한민국 정부 수립</t>
    </r>
  </si>
  <si>
    <r>
      <rPr>
        <sz val="10"/>
        <rFont val="Noto Sans CJK SC"/>
        <family val="2"/>
      </rPr>
      <t xml:space="preserve">통일의 필요성에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</si>
  <si>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병역 유지를 위한 국방비 절감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 경쟁력 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이산가족 아픔 해소를 위해서 필요합니다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</si>
  <si>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남북 분단으로 인한 문제점을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</si>
  <si>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이산가족 발생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언어나 생활 방식이 달라짐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민족적 정체성이 약해짐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군사적 대립으로 인한 막대한 국방비 지출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반복되는 북한의 위협으로 인한 안전한 삶의 위협 등</t>
    </r>
  </si>
  <si>
    <r>
      <rPr>
        <sz val="10"/>
        <rFont val="Noto Sans CJK SC"/>
        <family val="2"/>
      </rPr>
      <t xml:space="preserve">남북한이 통일되면 좋은 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</si>
  <si>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전쟁이 없어져 국방비 지출을 줄여 경제 발전에 활용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한반도 전체 국토의 효율적인 이용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이산가족이 다시 만나며 육로를 통한 교통 등으로 나라가 발전합니다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</si>
  <si>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한국전쟁</t>
    </r>
    <r>
      <rPr>
        <sz val="10"/>
        <rFont val="Arial"/>
        <family val="0"/>
        <charset val="1"/>
      </rPr>
      <t xml:space="preserve">(6.25</t>
    </r>
    <r>
      <rPr>
        <sz val="10"/>
        <rFont val="Noto Sans CJK SC"/>
        <family val="2"/>
      </rPr>
      <t xml:space="preserve">전쟁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</si>
  <si>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세계대전의 승전국인 미국과 소련이 우리 나라를 임시로 다스리겠다는 것을 시작으로 신탁통치를 하기로 결정했다</t>
    </r>
    <r>
      <rPr>
        <sz val="10"/>
        <rFont val="Arial"/>
        <family val="0"/>
        <charset val="1"/>
      </rPr>
      <t xml:space="preserve">. 1948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남한에는 이승만 대통령의 대한민국이</t>
    </r>
    <r>
      <rPr>
        <sz val="10"/>
        <rFont val="Arial"/>
        <family val="0"/>
        <charset val="1"/>
      </rPr>
      <t xml:space="preserve">, 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일에는 김일성의 조선민주주의 인민공화국이 수립되었다</t>
    </r>
    <r>
      <rPr>
        <sz val="10"/>
        <rFont val="Arial"/>
        <family val="0"/>
        <charset val="1"/>
      </rPr>
      <t xml:space="preserve">. 1950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일 북한이 소련과 중국의 지원을 받아 남한을 공격함으로써 한국 전쟁이 시작되었고</t>
    </r>
    <r>
      <rPr>
        <sz val="10"/>
        <rFont val="Arial"/>
        <family val="0"/>
        <charset val="1"/>
      </rPr>
      <t xml:space="preserve">, 1953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휴전 협정이 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</si>
  <si>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</si>
  <si>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한국전쟁</t>
    </r>
    <r>
      <rPr>
        <sz val="10"/>
        <rFont val="Arial"/>
        <family val="0"/>
        <charset val="1"/>
      </rPr>
      <t xml:space="preserve">(6.25</t>
    </r>
    <r>
      <rPr>
        <sz val="10"/>
        <rFont val="Noto Sans CJK SC"/>
        <family val="2"/>
      </rPr>
      <t xml:space="preserve">전쟁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관련된 것을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</si>
  <si>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현충일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이산가족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분단된 한반도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휴전을 상징하는 철조망입니다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</si>
  <si>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북한군이 북위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도선 전역에 걸쳐 기습 남침하여 발발한 전쟁은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</si>
  <si>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6.25 </t>
    </r>
    <r>
      <rPr>
        <sz val="10"/>
        <rFont val="Noto Sans CJK SC"/>
        <family val="2"/>
      </rPr>
      <t xml:space="preserve">전쟁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</si>
  <si>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</si>
  <si>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북한이 소련과 중국의 지원을 받아 남한을 공격함으로 한국 전쟁이 시작한 날은 언제입니까</t>
    </r>
    <r>
      <rPr>
        <sz val="10"/>
        <rFont val="Arial"/>
        <family val="0"/>
        <charset val="1"/>
      </rPr>
      <t xml:space="preserve">?</t>
    </r>
  </si>
  <si>
    <t xml:space="preserve">1950-06-25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</si>
  <si>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</si>
  <si>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8.15</t>
    </r>
    <r>
      <rPr>
        <sz val="10"/>
        <rFont val="Noto Sans CJK SC"/>
        <family val="2"/>
      </rPr>
      <t xml:space="preserve">광복 직후 한반도 남과 북에 주둔한 미국군과 소련군의 군사적 경계선을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</si>
  <si>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삼팔선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</si>
  <si>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</si>
  <si>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Arial"/>
        <family val="0"/>
        <charset val="1"/>
      </rPr>
      <t xml:space="preserve">1970</t>
    </r>
    <r>
      <rPr>
        <sz val="10"/>
        <rFont val="Noto Sans CJK SC"/>
        <family val="2"/>
      </rPr>
      <t xml:space="preserve">년 박정희 대통령에 의해 시작되어 농촌의 소득을 높이고 환경을 바꾸어 농민을 잘살게 하는 데 큰 구실을 한 운동은 무엇입니까</t>
    </r>
    <r>
      <rPr>
        <sz val="10"/>
        <rFont val="Arial"/>
        <family val="0"/>
        <charset val="1"/>
      </rPr>
      <t xml:space="preserve">?</t>
    </r>
  </si>
  <si>
    <t xml:space="preserve">새마을운동</t>
  </si>
  <si>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1953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6.25</t>
    </r>
    <r>
      <rPr>
        <sz val="10"/>
        <rFont val="Noto Sans CJK SC"/>
        <family val="2"/>
      </rPr>
      <t xml:space="preserve">전쟁으로 인한 휴전이 성립될 때까지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남한과 북한과의 정치적 경계선은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</si>
  <si>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</si>
  <si>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한국과 북한은 종종 대립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관계 악화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하기도 하고 교류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관계 개선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하기도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어떤 것이 있나 말해봅시다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</si>
  <si>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개선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남한의 홍수 피해시 쌀지원</t>
    </r>
    <r>
      <rPr>
        <sz val="10"/>
        <rFont val="Arial"/>
        <family val="0"/>
        <charset val="1"/>
      </rPr>
      <t xml:space="preserve">(1984), </t>
    </r>
    <r>
      <rPr>
        <sz val="10"/>
        <rFont val="Noto Sans CJK SC"/>
        <family val="2"/>
      </rPr>
      <t xml:space="preserve">북한 식량난 해결을 위한 쌀 지원</t>
    </r>
    <r>
      <rPr>
        <sz val="10"/>
        <rFont val="Arial"/>
        <family val="0"/>
        <charset val="1"/>
      </rPr>
      <t xml:space="preserve">(1995), </t>
    </r>
    <r>
      <rPr>
        <sz val="10"/>
        <rFont val="Noto Sans CJK SC"/>
        <family val="2"/>
      </rPr>
      <t xml:space="preserve">금강산관광</t>
    </r>
    <r>
      <rPr>
        <sz val="10"/>
        <rFont val="Arial"/>
        <family val="0"/>
        <charset val="1"/>
      </rPr>
      <t xml:space="preserve">(1998), </t>
    </r>
    <r>
      <rPr>
        <sz val="10"/>
        <rFont val="Noto Sans CJK SC"/>
        <family val="2"/>
      </rPr>
      <t xml:space="preserve">남북정상회담</t>
    </r>
    <r>
      <rPr>
        <sz val="10"/>
        <rFont val="Arial"/>
        <family val="0"/>
        <charset val="1"/>
      </rPr>
      <t xml:space="preserve">(2000, 2007, 2018)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대립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악화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서해해전</t>
    </r>
    <r>
      <rPr>
        <sz val="10"/>
        <rFont val="Arial"/>
        <family val="0"/>
        <charset val="1"/>
      </rPr>
      <t xml:space="preserve">(2002), </t>
    </r>
    <r>
      <rPr>
        <sz val="10"/>
        <rFont val="Noto Sans CJK SC"/>
        <family val="2"/>
      </rPr>
      <t xml:space="preserve">북한 핵실험</t>
    </r>
    <r>
      <rPr>
        <sz val="10"/>
        <rFont val="Arial"/>
        <family val="0"/>
        <charset val="1"/>
      </rPr>
      <t xml:space="preserve">(2006~2017), </t>
    </r>
    <r>
      <rPr>
        <sz val="10"/>
        <rFont val="Noto Sans CJK SC"/>
        <family val="2"/>
      </rPr>
      <t xml:space="preserve">연평도 포격</t>
    </r>
    <r>
      <rPr>
        <sz val="10"/>
        <rFont val="Arial"/>
        <family val="0"/>
        <charset val="1"/>
      </rPr>
      <t xml:space="preserve">(2010), </t>
    </r>
    <r>
      <rPr>
        <sz val="10"/>
        <rFont val="Noto Sans CJK SC"/>
        <family val="2"/>
      </rPr>
      <t xml:space="preserve">개성공단</t>
    </r>
    <r>
      <rPr>
        <sz val="10"/>
        <rFont val="Arial"/>
        <family val="0"/>
        <charset val="1"/>
      </rPr>
      <t xml:space="preserve">(2013) </t>
    </r>
    <r>
      <rPr>
        <sz val="10"/>
        <rFont val="Noto Sans CJK SC"/>
        <family val="2"/>
      </rPr>
      <t xml:space="preserve">등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</si>
  <si>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</si>
  <si>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휴전선을 중심으로 남과 북에 각각 </t>
    </r>
    <r>
      <rPr>
        <sz val="10"/>
        <rFont val="Arial"/>
        <family val="0"/>
        <charset val="1"/>
      </rPr>
      <t xml:space="preserve">2km </t>
    </r>
    <r>
      <rPr>
        <sz val="10"/>
        <rFont val="Noto Sans CJK SC"/>
        <family val="2"/>
      </rPr>
      <t xml:space="preserve">내에 위치한 영역으로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군인이나 무기를 원칙적으로 배치하지 않기로 하고 있는 곳은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</si>
  <si>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비무장지대</t>
    </r>
    <r>
      <rPr>
        <sz val="10"/>
        <rFont val="Arial"/>
        <family val="0"/>
        <charset val="1"/>
      </rPr>
      <t xml:space="preserve">(DMZ, Demilitarized Zone)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</si>
  <si>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</si>
  <si>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한국 전쟁에 참전한 나라들이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개국이 있으며 그 외에도 의료부문을 지원한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개국이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우리나라에게 도움을 준 나라 중에서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</si>
  <si>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전투병력 지원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캐나다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터키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필리핀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네덜란드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콜롬비아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뉴질랜드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에티오피아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벨기에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프랑스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남아공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룩셈부르크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의료지원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노르웨이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덴마크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스웨덴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이탈리아</t>
    </r>
  </si>
  <si>
    <t xml:space="preserve">시대 순서</t>
  </si>
  <si>
    <r>
      <rPr>
        <sz val="10"/>
        <rFont val="Noto Sans CJK SC"/>
        <family val="2"/>
      </rPr>
      <t xml:space="preserve">대한민국의 국가를 연대순을 정리하면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</si>
  <si>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고조선</t>
    </r>
    <r>
      <rPr>
        <sz val="10"/>
        <rFont val="Arial"/>
        <family val="0"/>
        <charset val="1"/>
      </rPr>
      <t xml:space="preserve">: BC2333 - BC108
</t>
    </r>
    <r>
      <rPr>
        <sz val="10"/>
        <rFont val="Noto Sans CJK SC"/>
        <family val="2"/>
      </rPr>
      <t xml:space="preserve">삼국시대</t>
    </r>
    <r>
      <rPr>
        <sz val="10"/>
        <rFont val="Arial"/>
        <family val="0"/>
        <charset val="1"/>
      </rPr>
      <t xml:space="preserve">: 676
</t>
    </r>
    <r>
      <rPr>
        <sz val="10"/>
        <rFont val="Noto Sans CJK SC"/>
        <family val="2"/>
      </rPr>
      <t xml:space="preserve">발해</t>
    </r>
    <r>
      <rPr>
        <sz val="10"/>
        <rFont val="Arial"/>
        <family val="0"/>
        <charset val="1"/>
      </rPr>
      <t xml:space="preserve">: 698 ~ 926
</t>
    </r>
    <r>
      <rPr>
        <sz val="10"/>
        <rFont val="Noto Sans CJK SC"/>
        <family val="2"/>
      </rPr>
      <t xml:space="preserve">통일신라</t>
    </r>
    <r>
      <rPr>
        <sz val="10"/>
        <rFont val="Arial"/>
        <family val="0"/>
        <charset val="1"/>
      </rPr>
      <t xml:space="preserve">: 676 ~ 936
</t>
    </r>
    <r>
      <rPr>
        <sz val="10"/>
        <rFont val="Noto Sans CJK SC"/>
        <family val="2"/>
      </rPr>
      <t xml:space="preserve">후삼국시대</t>
    </r>
    <r>
      <rPr>
        <sz val="10"/>
        <rFont val="Arial"/>
        <family val="0"/>
        <charset val="1"/>
      </rPr>
      <t xml:space="preserve">: 900 ~ 936
</t>
    </r>
    <r>
      <rPr>
        <sz val="10"/>
        <rFont val="Noto Sans CJK SC"/>
        <family val="2"/>
      </rPr>
      <t xml:space="preserve">고려</t>
    </r>
    <r>
      <rPr>
        <sz val="10"/>
        <rFont val="Arial"/>
        <family val="0"/>
        <charset val="1"/>
      </rPr>
      <t xml:space="preserve">: 918 ~ 1392
</t>
    </r>
    <r>
      <rPr>
        <sz val="10"/>
        <rFont val="Noto Sans CJK SC"/>
        <family val="2"/>
      </rPr>
      <t xml:space="preserve">조선</t>
    </r>
    <r>
      <rPr>
        <sz val="10"/>
        <rFont val="Arial"/>
        <family val="0"/>
        <charset val="1"/>
      </rPr>
      <t xml:space="preserve">: 1392 ~ 1897
</t>
    </r>
    <r>
      <rPr>
        <sz val="10"/>
        <rFont val="Noto Sans CJK SC"/>
        <family val="2"/>
      </rPr>
      <t xml:space="preserve">대한제국</t>
    </r>
    <r>
      <rPr>
        <sz val="10"/>
        <rFont val="Arial"/>
        <family val="0"/>
        <charset val="1"/>
      </rPr>
      <t xml:space="preserve">: 1897 ~ 1910 
</t>
    </r>
    <r>
      <rPr>
        <sz val="10"/>
        <rFont val="Noto Sans CJK SC"/>
        <family val="2"/>
      </rPr>
      <t xml:space="preserve">임시정부</t>
    </r>
    <r>
      <rPr>
        <sz val="10"/>
        <rFont val="Arial"/>
        <family val="0"/>
        <charset val="1"/>
      </rPr>
      <t xml:space="preserve">: 1919 ~ 1945
</t>
    </r>
    <r>
      <rPr>
        <sz val="10"/>
        <rFont val="Noto Sans CJK SC"/>
        <family val="2"/>
      </rPr>
      <t xml:space="preserve">대한민국</t>
    </r>
    <r>
      <rPr>
        <sz val="10"/>
        <rFont val="Arial"/>
        <family val="0"/>
        <charset val="1"/>
      </rPr>
      <t xml:space="preserve">: 1945 ~ </t>
    </r>
    <r>
      <rPr>
        <sz val="10"/>
        <rFont val="Noto Sans CJK SC"/>
        <family val="2"/>
      </rPr>
      <t xml:space="preserve">현재</t>
    </r>
  </si>
  <si>
    <t xml:space="preserve">전체를 훑어보기</t>
  </si>
  <si>
    <t xml:space="preserve">문화유산</t>
  </si>
  <si>
    <t xml:space="preserve">한국 문화재</t>
  </si>
  <si>
    <r>
      <rPr>
        <sz val="10"/>
        <rFont val="Noto Sans CJK SC"/>
        <family val="2"/>
      </rPr>
      <t xml:space="preserve">푸른 빛을 띠는 도자기로 고려의 대표적인 도자기는 무엇입니까</t>
    </r>
    <r>
      <rPr>
        <sz val="10"/>
        <rFont val="Arial"/>
        <family val="0"/>
        <charset val="1"/>
      </rPr>
      <t xml:space="preserve">?</t>
    </r>
  </si>
  <si>
    <t xml:space="preserve">고려청자</t>
  </si>
  <si>
    <t xml:space="preserve">남아 있는 것들</t>
  </si>
  <si>
    <r>
      <rPr>
        <sz val="10"/>
        <rFont val="Noto Sans CJK SC"/>
        <family val="2"/>
      </rPr>
      <t xml:space="preserve">조선시대에 만들어진 단아하고 아름다운 하얀 자기는 무엇입니까</t>
    </r>
    <r>
      <rPr>
        <sz val="10"/>
        <rFont val="Arial"/>
        <family val="0"/>
        <charset val="1"/>
      </rPr>
      <t xml:space="preserve">?</t>
    </r>
  </si>
  <si>
    <t xml:space="preserve">조선백자</t>
  </si>
  <si>
    <r>
      <rPr>
        <sz val="10"/>
        <rFont val="Noto Sans CJK SC"/>
        <family val="2"/>
      </rPr>
      <t xml:space="preserve">고려시대 외적의 침입을 막고 평화를 기원하며 만든 경판은 무엇입니까</t>
    </r>
    <r>
      <rPr>
        <sz val="10"/>
        <rFont val="Arial"/>
        <family val="0"/>
        <charset val="1"/>
      </rPr>
      <t xml:space="preserve">?</t>
    </r>
  </si>
  <si>
    <t xml:space="preserve">팔만대장경</t>
  </si>
  <si>
    <r>
      <rPr>
        <sz val="10"/>
        <rFont val="Noto Sans CJK SC"/>
        <family val="2"/>
      </rPr>
      <t xml:space="preserve">청동기시대의 대표적인 무덤 양식으로 돌로 만든 선사시대의 무덤은 무엇입니까</t>
    </r>
    <r>
      <rPr>
        <sz val="10"/>
        <rFont val="Arial"/>
        <family val="0"/>
        <charset val="1"/>
      </rPr>
      <t xml:space="preserve">?</t>
    </r>
  </si>
  <si>
    <t xml:space="preserve">고인돌</t>
  </si>
  <si>
    <r>
      <rPr>
        <sz val="10"/>
        <rFont val="Noto Sans CJK SC"/>
        <family val="2"/>
      </rPr>
      <t xml:space="preserve">고려시대 사찰 흥덕사에서 만들어진 인쇄물이며 세계에서 가장 오래된 금속 활자로 인쇄된 이 책은 무엇입니까</t>
    </r>
    <r>
      <rPr>
        <sz val="10"/>
        <rFont val="Arial"/>
        <family val="0"/>
        <charset val="1"/>
      </rPr>
      <t xml:space="preserve">?</t>
    </r>
  </si>
  <si>
    <t xml:space="preserve">직지심체요절</t>
  </si>
  <si>
    <r>
      <rPr>
        <sz val="10"/>
        <rFont val="Noto Sans CJK SC"/>
        <family val="2"/>
      </rPr>
      <t xml:space="preserve">조선 역대 군왕의 신위를 모시는 종묘와 영녕전의 제향에 쓰이는 음악은 무엇입니까</t>
    </r>
    <r>
      <rPr>
        <sz val="10"/>
        <rFont val="Arial"/>
        <family val="0"/>
        <charset val="1"/>
      </rPr>
      <t xml:space="preserve">?</t>
    </r>
  </si>
  <si>
    <t xml:space="preserve">종묘제례악</t>
  </si>
  <si>
    <r>
      <rPr>
        <sz val="10"/>
        <rFont val="Noto Sans CJK SC"/>
        <family val="2"/>
      </rPr>
      <t xml:space="preserve">조선시대 역대 왕과 왕비의 신위를 모셔 놓은 사당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지내는 제사 무엇입니까</t>
    </r>
    <r>
      <rPr>
        <sz val="10"/>
        <rFont val="Arial"/>
        <family val="0"/>
        <charset val="1"/>
      </rPr>
      <t xml:space="preserve">?</t>
    </r>
  </si>
  <si>
    <t xml:space="preserve">종묘제례</t>
  </si>
  <si>
    <r>
      <rPr>
        <sz val="10"/>
        <rFont val="Noto Sans CJK SC"/>
        <family val="2"/>
      </rPr>
      <t xml:space="preserve">신라 선덕 여왕 때 세운 천문 기상 관측대로 천체의 움직임을 관찰한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</si>
  <si>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몽골이 고려를 침입하자 부처의 힘으로 몽골군을 물리치기 위해 만든 대장경은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</si>
  <si>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</si>
  <si>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조선시대의 임금이 왕위에 있는 동안 일어난 일과 그 밖의 여러 사실 등을 정리한 기록을 무엇이라고 합니까</t>
    </r>
    <r>
      <rPr>
        <sz val="10"/>
        <rFont val="Arial"/>
        <family val="0"/>
        <charset val="1"/>
      </rPr>
      <t xml:space="preserve">?</t>
    </r>
  </si>
  <si>
    <t xml:space="preserve">조선왕조실록</t>
  </si>
  <si>
    <r>
      <rPr>
        <sz val="10"/>
        <rFont val="Noto Sans CJK SC"/>
        <family val="2"/>
      </rPr>
      <t xml:space="preserve">선사시대 돌무덤의 일종으로 우리나라 청동기시대의 대표적인 무덤 중의 하나인 이것은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</si>
  <si>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조선시대에 역대 임금과 왕비의 위패를 모시던 왕실의 사당으로 세계문화유산으로 지정받은 것은 무엇입니까</t>
    </r>
    <r>
      <rPr>
        <sz val="10"/>
        <rFont val="Arial"/>
        <family val="0"/>
        <charset val="1"/>
      </rPr>
      <t xml:space="preserve">?</t>
    </r>
  </si>
  <si>
    <t xml:space="preserve">종묘</t>
  </si>
  <si>
    <r>
      <rPr>
        <sz val="10"/>
        <rFont val="Noto Sans CJK SC"/>
        <family val="2"/>
      </rPr>
      <t xml:space="preserve">경상북도 경주시 진현동의 토함산 기슭에 있는 사찰 건축물로 석굴암 삼층 석탑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다보탑 등이 있는 곳은 어디입니까</t>
    </r>
    <r>
      <rPr>
        <sz val="10"/>
        <rFont val="Arial"/>
        <family val="0"/>
        <charset val="1"/>
      </rPr>
      <t xml:space="preserve">?</t>
    </r>
  </si>
  <si>
    <t xml:space="preserve">불국사</t>
  </si>
  <si>
    <r>
      <rPr>
        <sz val="10"/>
        <rFont val="Noto Sans CJK SC"/>
        <family val="2"/>
      </rPr>
      <t xml:space="preserve">나무나 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종이와 같은 물질로 만들어 얼굴에 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정체를 숨기거나 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제례 등에 사용하는 것은 무엇입니까</t>
    </r>
    <r>
      <rPr>
        <sz val="10"/>
        <rFont val="Arial"/>
        <family val="0"/>
        <charset val="1"/>
      </rPr>
      <t xml:space="preserve">?</t>
    </r>
  </si>
  <si>
    <t xml:space="preserve">탈</t>
  </si>
  <si>
    <r>
      <rPr>
        <sz val="10"/>
        <rFont val="Noto Sans CJK SC"/>
        <family val="2"/>
      </rPr>
      <t xml:space="preserve">고려시대의 대표적인 도자기로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은은하면서 맑고 푸른빛을 띠며 선이 부드러우면서도 생동감이 느껴지는 자기는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</si>
  <si>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종이나 나무로 만들고 옛날에 사람이 얼굴을 가리고 춤을춥나다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사람이나 동물의 얼굴 모양을 본 떠서 만든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</si>
  <si>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몽골의 침입을 받아 수도를 강화도로 옮긴 고려가 부처의 힘으로 외적을 물리치겠다는 소망을 가지고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년 걸쳐 만든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</si>
  <si>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</si>
  <si>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청동기시대의 대표적인 무덤 양식이며 큰 세력을 지녔던 지배자나 족장의 무덤으로 고창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강화 이 세 지역에 있는 돌무덤은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</si>
  <si>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</si>
  <si>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유네스코 유산</t>
  </si>
  <si>
    <r>
      <rPr>
        <sz val="10"/>
        <rFont val="Noto Sans CJK SC"/>
        <family val="2"/>
      </rPr>
      <t xml:space="preserve">우리나라의 실정에 맞도록 쓰여진 의학 서적은 무엇이라고 합니까</t>
    </r>
    <r>
      <rPr>
        <sz val="10"/>
        <rFont val="Arial"/>
        <family val="0"/>
        <charset val="1"/>
      </rPr>
      <t xml:space="preserve">?</t>
    </r>
  </si>
  <si>
    <t xml:space="preserve">동의보감</t>
  </si>
  <si>
    <t xml:space="preserve">system</t>
  </si>
  <si>
    <t xml:space="preserve">세계가 아는 것들</t>
  </si>
  <si>
    <r>
      <rPr>
        <sz val="10"/>
        <rFont val="Noto Sans CJK SC"/>
        <family val="2"/>
      </rPr>
      <t xml:space="preserve">조선 시대 왕과 왕비의 무덤으로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유네스코 세계문화유산에 등재된 것은</t>
    </r>
  </si>
  <si>
    <r>
      <rPr>
        <sz val="10"/>
        <rFont val="Noto Sans CJK SC"/>
        <family val="2"/>
      </rPr>
      <t xml:space="preserve">임금의 언동과 정사를 기록한 책으로 국정 운영에 참고할 목적으로 쓴 일기는</t>
    </r>
    <r>
      <rPr>
        <sz val="10"/>
        <rFont val="Arial"/>
        <family val="0"/>
        <charset val="1"/>
      </rPr>
      <t xml:space="preserve">?</t>
    </r>
  </si>
  <si>
    <t xml:space="preserve">일성록</t>
  </si>
  <si>
    <r>
      <rPr>
        <sz val="10"/>
        <rFont val="Noto Sans CJK SC"/>
        <family val="2"/>
      </rPr>
      <t xml:space="preserve">인류가 보존해야 할 문화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자연유산을 세계유산으로 지정하여 보호하는 일을 하는 곳은</t>
    </r>
    <r>
      <rPr>
        <sz val="10"/>
        <rFont val="Arial"/>
        <family val="0"/>
        <charset val="1"/>
      </rPr>
      <t xml:space="preserve">?</t>
    </r>
  </si>
  <si>
    <t xml:space="preserve">유네스코</t>
  </si>
  <si>
    <r>
      <rPr>
        <sz val="10"/>
        <rFont val="Noto Sans CJK SC"/>
        <family val="2"/>
      </rPr>
      <t xml:space="preserve">유네스코 등재된 유산들은 어떻게 관리되고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</si>
  <si>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인류무형문화유산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세계유산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세계기록유산으로 나뉩니다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</si>
  <si>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조선 정조가 아버지 사도세자를 기리며 쌓은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유네스코 세계문화유산으로 등재된 성곽은</t>
    </r>
    <r>
      <rPr>
        <sz val="10"/>
        <rFont val="Arial"/>
        <family val="0"/>
        <charset val="1"/>
      </rPr>
      <t xml:space="preserve">?</t>
    </r>
  </si>
  <si>
    <t xml:space="preserve">수원 화성</t>
  </si>
  <si>
    <r>
      <rPr>
        <sz val="10"/>
        <rFont val="Noto Sans CJK SC"/>
        <family val="2"/>
      </rPr>
      <t xml:space="preserve">조선 시대 허준이 지은 의학서로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동아시아 의학을 집대성하여 세계기록유산에 등재된 책은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</si>
  <si>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제주도에서 화산 활동으로 만들어진 동굴로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거문오름 용암동굴계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세계자연유산에 등재된 것은</t>
    </r>
    <r>
      <rPr>
        <sz val="10"/>
        <rFont val="Arial"/>
        <family val="0"/>
        <charset val="1"/>
      </rPr>
      <t xml:space="preserve">?</t>
    </r>
  </si>
  <si>
    <t xml:space="preserve">용암동굴</t>
  </si>
  <si>
    <r>
      <rPr>
        <sz val="10"/>
        <rFont val="Noto Sans CJK SC"/>
        <family val="2"/>
      </rPr>
      <t xml:space="preserve">이순신 장군이 임진왜란 중에 쓴 일기로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전쟁 상황과 당시 생활이 기록되어 세계기록유산에 등재된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</si>
  <si>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친척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친구가 우리나라를 방문한다면 소개하고 싶은 문화재나 유적지는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</si>
  <si>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경복궁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창덕궁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불국사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다보탑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석굴암 등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</si>
  <si>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</si>
  <si>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조선시대 왕실의 중요한 행사와 나라의 건축 사업 등을 그림과 글로 기록한 책은</t>
    </r>
    <r>
      <rPr>
        <sz val="10"/>
        <rFont val="Arial"/>
        <family val="0"/>
        <charset val="1"/>
      </rPr>
      <t xml:space="preserve">?</t>
    </r>
  </si>
  <si>
    <t xml:space="preserve">조선왕조 의궤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</si>
  <si>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</si>
  <si>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유네스코 세계문화유산으로 등재된 사찰의 건축물로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팔만대장경을 보관하고 있는 곳은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</si>
  <si>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합천 해인사 장경판전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</si>
  <si>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</si>
  <si>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1980</t>
    </r>
    <r>
      <rPr>
        <sz val="10"/>
        <rFont val="Noto Sans CJK SC"/>
        <family val="2"/>
      </rPr>
      <t xml:space="preserve">년 광주에서 일어난 민주화 운동에 관한 기록물로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세계기록유산에 등재된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</si>
  <si>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5.18 </t>
    </r>
    <r>
      <rPr>
        <sz val="10"/>
        <rFont val="Noto Sans CJK SC"/>
        <family val="2"/>
      </rPr>
      <t xml:space="preserve">민주화운동 기록물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</si>
  <si>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</si>
  <si>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1970</t>
    </r>
    <r>
      <rPr>
        <sz val="10"/>
        <rFont val="Noto Sans CJK SC"/>
        <family val="2"/>
      </rPr>
      <t xml:space="preserve">년대 우리나라 농촌을 발전시키기 위해 펼쳐진 운동에 관한 기록물로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세계기록유산에 등재된 것은</t>
    </r>
    <r>
      <rPr>
        <sz val="10"/>
        <rFont val="Arial"/>
        <family val="0"/>
        <charset val="1"/>
      </rPr>
      <t xml:space="preserve">?</t>
    </r>
  </si>
  <si>
    <t xml:space="preserve">새마을 운동 기록물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</si>
  <si>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</si>
  <si>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경상북도 안동에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전통 양반 가옥과 마을의 모습이 잘 보존되어 유네스코 세계유산으로 등재된 민속 마을은</t>
    </r>
    <r>
      <rPr>
        <sz val="10"/>
        <rFont val="Arial"/>
        <family val="0"/>
        <charset val="1"/>
      </rPr>
      <t xml:space="preserve">?</t>
    </r>
  </si>
  <si>
    <t xml:space="preserve">하회마을</t>
  </si>
  <si>
    <r>
      <rPr>
        <sz val="10"/>
        <rFont val="Noto Sans CJK SC"/>
        <family val="2"/>
      </rPr>
      <t xml:space="preserve">경상북도 경주에 있는 또 다른 전통 민속 마을로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하회마을과 함께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한국의 역사마을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세계유산에 등재된 곳은</t>
    </r>
    <r>
      <rPr>
        <sz val="10"/>
        <rFont val="Arial"/>
        <family val="0"/>
        <charset val="1"/>
      </rPr>
      <t xml:space="preserve">?</t>
    </r>
  </si>
  <si>
    <t xml:space="preserve">양동마을</t>
  </si>
  <si>
    <r>
      <rPr>
        <sz val="10"/>
        <rFont val="Noto Sans CJK SC"/>
        <family val="2"/>
      </rPr>
      <t xml:space="preserve">신라의 수도였던 경주에 남아 있는 불교 유적과 유물들이 모여 있어 세계문화유산으로 지정된 지역을 무엇이라 하는가</t>
    </r>
    <r>
      <rPr>
        <sz val="10"/>
        <rFont val="Arial"/>
        <family val="0"/>
        <charset val="1"/>
      </rPr>
      <t xml:space="preserve">?</t>
    </r>
  </si>
  <si>
    <t xml:space="preserve">유적역사지구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</si>
  <si>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</si>
  <si>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임금의 비서 기관인 승정원에 날마다 쓴 일기를 모아놓은 책으로 임금의 하루 일과를 장소와 시간대별로 기록한 것은</t>
    </r>
    <r>
      <rPr>
        <sz val="10"/>
        <rFont val="Arial"/>
        <family val="0"/>
        <charset val="1"/>
      </rPr>
      <t xml:space="preserve">?</t>
    </r>
  </si>
  <si>
    <t xml:space="preserve">승정원일기</t>
  </si>
  <si>
    <r>
      <rPr>
        <sz val="10"/>
        <rFont val="Noto Sans CJK SC"/>
        <family val="2"/>
      </rPr>
      <t xml:space="preserve">연극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공예 기술 등의 무형의 문화적 소산으로 역사적 또는 예술적으로 가치가 큰 것이며 사람이 지정 대상인 것은 무엇입니까</t>
    </r>
    <r>
      <rPr>
        <sz val="10"/>
        <rFont val="Arial"/>
        <family val="0"/>
        <charset val="1"/>
      </rPr>
      <t xml:space="preserve">?</t>
    </r>
  </si>
  <si>
    <t xml:space="preserve">무형문화재</t>
  </si>
  <si>
    <r>
      <rPr>
        <sz val="10"/>
        <rFont val="Noto Sans CJK SC"/>
        <family val="2"/>
      </rPr>
      <t xml:space="preserve">경상북도 경주시 토함산 동쪽에 있는 남북국시대 통일신라의 김대성이 창건한 사찰로 유네스코에서 제정한 세계문화유산으로 등재된 불상을 모신 석굴은 무엇입니까</t>
    </r>
    <r>
      <rPr>
        <sz val="10"/>
        <rFont val="Arial"/>
        <family val="0"/>
        <charset val="1"/>
      </rPr>
      <t xml:space="preserve">?</t>
    </r>
  </si>
  <si>
    <t xml:space="preserve">석굴암</t>
  </si>
  <si>
    <r>
      <rPr>
        <sz val="10"/>
        <rFont val="Noto Sans CJK SC"/>
        <family val="2"/>
      </rPr>
      <t xml:space="preserve">합천 해인사에 보관되어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고려 시대에 부처의 힘으로 외적을 물리치고자 만든 목판으로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유네스코 세계기록유산에 등재된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</si>
  <si>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해인사 대장경판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</si>
  <si>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</si>
  <si>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전통문화</t>
  </si>
  <si>
    <t xml:space="preserve">가족</t>
  </si>
  <si>
    <r>
      <rPr>
        <sz val="10"/>
        <rFont val="Noto Sans CJK SC"/>
        <family val="2"/>
      </rPr>
      <t xml:space="preserve">남편의 형을 부르는 호칭은 무엇입니까</t>
    </r>
    <r>
      <rPr>
        <sz val="10"/>
        <rFont val="Arial"/>
        <family val="0"/>
        <charset val="1"/>
      </rPr>
      <t xml:space="preserve">?</t>
    </r>
  </si>
  <si>
    <t xml:space="preserve">아주버님</t>
  </si>
  <si>
    <t xml:space="preserve">procedure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</si>
  <si>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</si>
  <si>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life</t>
  </si>
  <si>
    <t xml:space="preserve">가족이 되다</t>
  </si>
  <si>
    <r>
      <rPr>
        <sz val="10"/>
        <rFont val="Noto Sans CJK SC"/>
        <family val="2"/>
      </rPr>
      <t xml:space="preserve">남편의 누나를 부르는 호칭은 무엇입니까</t>
    </r>
    <r>
      <rPr>
        <sz val="10"/>
        <rFont val="Arial"/>
        <family val="0"/>
        <charset val="1"/>
      </rPr>
      <t xml:space="preserve">?</t>
    </r>
  </si>
  <si>
    <t xml:space="preserve">형님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</si>
  <si>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</si>
  <si>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아내의 오빠를 부르는 호칭은 무엇입니끼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</si>
  <si>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아내의 언니를 부르는 호칭은 무엇입니까</t>
    </r>
    <r>
      <rPr>
        <sz val="10"/>
        <rFont val="Arial"/>
        <family val="0"/>
        <charset val="1"/>
      </rPr>
      <t xml:space="preserve">?</t>
    </r>
  </si>
  <si>
    <t xml:space="preserve">처형</t>
  </si>
  <si>
    <r>
      <rPr>
        <sz val="10"/>
        <rFont val="Noto Sans CJK SC"/>
        <family val="2"/>
      </rPr>
      <t xml:space="preserve">형제자매 간의 촌수는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</si>
  <si>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촌</t>
    </r>
  </si>
  <si>
    <r>
      <rPr>
        <sz val="10"/>
        <rFont val="Noto Sans CJK SC"/>
        <family val="2"/>
      </rPr>
      <t xml:space="preserve">남편의 아버지를 부르는 호칭은 무엇입니까</t>
    </r>
    <r>
      <rPr>
        <sz val="10"/>
        <rFont val="Arial"/>
        <family val="0"/>
        <charset val="1"/>
      </rPr>
      <t xml:space="preserve">?</t>
    </r>
  </si>
  <si>
    <t xml:space="preserve">아버님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</si>
  <si>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</si>
  <si>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남편의 어머니를 부르는 호칭은 무엇입니까</t>
    </r>
    <r>
      <rPr>
        <sz val="10"/>
        <rFont val="Arial"/>
        <family val="0"/>
        <charset val="1"/>
      </rPr>
      <t xml:space="preserve">?</t>
    </r>
  </si>
  <si>
    <t xml:space="preserve">어머님</t>
  </si>
  <si>
    <r>
      <rPr>
        <sz val="10"/>
        <rFont val="Noto Sans CJK SC"/>
        <family val="2"/>
      </rPr>
      <t xml:space="preserve">남편의 여동생을 부르는 호칭은 무엇입니까</t>
    </r>
    <r>
      <rPr>
        <sz val="10"/>
        <rFont val="Arial"/>
        <family val="0"/>
        <charset val="1"/>
      </rPr>
      <t xml:space="preserve">?</t>
    </r>
  </si>
  <si>
    <t xml:space="preserve">아가씨</t>
  </si>
  <si>
    <r>
      <rPr>
        <sz val="10"/>
        <rFont val="Noto Sans CJK SC"/>
        <family val="2"/>
      </rPr>
      <t xml:space="preserve">아내의 아버지를 부르는 호칭은 무엇입니까</t>
    </r>
    <r>
      <rPr>
        <sz val="10"/>
        <rFont val="Arial"/>
        <family val="0"/>
        <charset val="1"/>
      </rPr>
      <t xml:space="preserve">?</t>
    </r>
  </si>
  <si>
    <t xml:space="preserve">장인어른</t>
  </si>
  <si>
    <r>
      <rPr>
        <sz val="10"/>
        <rFont val="Noto Sans CJK SC"/>
        <family val="2"/>
      </rPr>
      <t xml:space="preserve">부모와 자녀 간의 촌수는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</si>
  <si>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촌</t>
    </r>
  </si>
  <si>
    <r>
      <rPr>
        <sz val="10"/>
        <rFont val="Noto Sans CJK SC"/>
        <family val="2"/>
      </rPr>
      <t xml:space="preserve">아내의 남동생을 부르는 호칭은 무엇입니까</t>
    </r>
    <r>
      <rPr>
        <sz val="10"/>
        <rFont val="Arial"/>
        <family val="0"/>
        <charset val="1"/>
      </rPr>
      <t xml:space="preserve">?</t>
    </r>
  </si>
  <si>
    <t xml:space="preserve">처남</t>
  </si>
  <si>
    <r>
      <rPr>
        <sz val="10"/>
        <rFont val="Noto Sans CJK SC"/>
        <family val="2"/>
      </rPr>
      <t xml:space="preserve">아내의 어머니를 부르는 호칭은 무엇입니까</t>
    </r>
    <r>
      <rPr>
        <sz val="10"/>
        <rFont val="Arial"/>
        <family val="0"/>
        <charset val="1"/>
      </rPr>
      <t xml:space="preserve">?</t>
    </r>
  </si>
  <si>
    <t xml:space="preserve">장모님</t>
  </si>
  <si>
    <r>
      <rPr>
        <sz val="10"/>
        <rFont val="Noto Sans CJK SC"/>
        <family val="2"/>
      </rPr>
      <t xml:space="preserve">아내의 여동생을 부르는 호칭은 무엇입니까</t>
    </r>
    <r>
      <rPr>
        <sz val="10"/>
        <rFont val="Arial"/>
        <family val="0"/>
        <charset val="1"/>
      </rPr>
      <t xml:space="preserve">?</t>
    </r>
  </si>
  <si>
    <t xml:space="preserve">처제</t>
  </si>
  <si>
    <r>
      <rPr>
        <sz val="10"/>
        <rFont val="Noto Sans CJK SC"/>
        <family val="2"/>
      </rPr>
      <t xml:space="preserve">부부와 미혼의 자녀만으로 이루어진 소가족을 무엇이라고 합니까</t>
    </r>
    <r>
      <rPr>
        <sz val="10"/>
        <rFont val="Arial"/>
        <family val="0"/>
        <charset val="1"/>
      </rPr>
      <t xml:space="preserve">?</t>
    </r>
  </si>
  <si>
    <t xml:space="preserve">핵가족</t>
  </si>
  <si>
    <r>
      <rPr>
        <sz val="10"/>
        <rFont val="Noto Sans CJK SC"/>
        <family val="2"/>
      </rPr>
      <t xml:space="preserve">남편의 남동생을 부르는 호칭은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</si>
  <si>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결혼 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도련님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결혼 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서방님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</si>
  <si>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</si>
  <si>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남편 또는 아내의 형제자매의 아이들 간의 관계를 어떻게 부릅니까</t>
    </r>
    <r>
      <rPr>
        <sz val="10"/>
        <rFont val="Arial"/>
        <family val="0"/>
        <charset val="1"/>
      </rPr>
      <t xml:space="preserve">?</t>
    </r>
  </si>
  <si>
    <t xml:space="preserve">사촌</t>
  </si>
  <si>
    <r>
      <rPr>
        <sz val="10"/>
        <rFont val="Noto Sans CJK SC"/>
        <family val="2"/>
      </rPr>
      <t xml:space="preserve">나의 자녀와 남편 형제자매 또는 나의 형제자매의 자녀와의 관계를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</si>
  <si>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부부와 그들의 미혼자녀 이외에 더 넓은 범위의 친족원을 포함하여 구성되는 가족을 일반적으로 이르는 말은 무엇입니까</t>
    </r>
    <r>
      <rPr>
        <sz val="10"/>
        <rFont val="Arial"/>
        <family val="0"/>
        <charset val="1"/>
      </rPr>
      <t xml:space="preserve">?</t>
    </r>
  </si>
  <si>
    <t xml:space="preserve">대가족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</si>
  <si>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</si>
  <si>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법</t>
  </si>
  <si>
    <t xml:space="preserve">가족과 법</t>
  </si>
  <si>
    <r>
      <rPr>
        <sz val="10"/>
        <rFont val="Noto Sans CJK SC"/>
        <family val="2"/>
      </rPr>
      <t xml:space="preserve">아기가 태어났음을 관청에 알리는 것을 무엇이라고 합니까</t>
    </r>
    <r>
      <rPr>
        <sz val="10"/>
        <rFont val="Arial"/>
        <family val="0"/>
        <charset val="1"/>
      </rPr>
      <t xml:space="preserve">?</t>
    </r>
  </si>
  <si>
    <t xml:space="preserve">출생신고</t>
  </si>
  <si>
    <t xml:space="preserve">혼인과 출생을 알리다</t>
  </si>
  <si>
    <r>
      <rPr>
        <sz val="10"/>
        <rFont val="Noto Sans CJK SC"/>
        <family val="2"/>
      </rPr>
      <t xml:space="preserve">결혼한 사실을 행정 관청에 신고하는 일을 무엇이라고 합니까</t>
    </r>
    <r>
      <rPr>
        <sz val="10"/>
        <rFont val="Arial"/>
        <family val="0"/>
        <charset val="1"/>
      </rPr>
      <t xml:space="preserve">?</t>
    </r>
  </si>
  <si>
    <t xml:space="preserve">혼인신고</t>
  </si>
  <si>
    <r>
      <rPr>
        <sz val="10"/>
        <rFont val="Noto Sans CJK SC"/>
        <family val="2"/>
      </rPr>
      <t xml:space="preserve">주민 등록 원본의 전부를 복사한 증명 서류를 무엇이라고 합니까</t>
    </r>
    <r>
      <rPr>
        <sz val="10"/>
        <rFont val="Arial"/>
        <family val="0"/>
        <charset val="1"/>
      </rPr>
      <t xml:space="preserve">?</t>
    </r>
  </si>
  <si>
    <t xml:space="preserve">주민등록등본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</si>
  <si>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</si>
  <si>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남녀 두 사람이 법적인 부부로 인정받기 위해 시청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구청 등에 신청하는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</si>
  <si>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혼인신고를 신청하는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</si>
  <si>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면사무소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읍사무소</t>
    </r>
  </si>
  <si>
    <r>
      <rPr>
        <sz val="10"/>
        <rFont val="Noto Sans CJK SC"/>
        <family val="2"/>
      </rPr>
      <t xml:space="preserve">사람이 사망하면 행정 관청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면사무소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신고하는 일을 무엇이라고 합니까</t>
    </r>
    <r>
      <rPr>
        <sz val="10"/>
        <rFont val="Arial"/>
        <family val="0"/>
        <charset val="1"/>
      </rPr>
      <t xml:space="preserve">?</t>
    </r>
  </si>
  <si>
    <t xml:space="preserve">사망신고</t>
  </si>
  <si>
    <r>
      <rPr>
        <sz val="10"/>
        <rFont val="Noto Sans CJK SC"/>
        <family val="2"/>
      </rPr>
      <t xml:space="preserve">아기가 태어난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이내에 해야되는 것으로 사람이 출생한 후 하는 가족관계 등록신고는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</si>
  <si>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법적 결혼이 가능한 나이는 몇 세입니까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</si>
  <si>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이상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부모님의 동의를 받는다면 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미만도 가능하다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</si>
  <si>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자녀가 태어나고 며칠 이내에 출생 신고를 해야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</si>
  <si>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출생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이내에 출생신고 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</si>
  <si>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</si>
  <si>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법적으로 부부가 되기 위해 혼인 신고는 어디에 가서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</si>
  <si>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</si>
  <si>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사회질서를 유지하고 정의를 실현함을 직접 목적으로 하는 국가의 강제력을 수반하는 사회적 규범 또는 관습은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</si>
  <si>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개개인이 등록한 주소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생년월일 등 신분에 관한 사항과 가족관계 관한 사항 등을 기록한 문서는 무엇입니까</t>
    </r>
    <r>
      <rPr>
        <sz val="10"/>
        <rFont val="Arial"/>
        <family val="0"/>
        <charset val="1"/>
      </rPr>
      <t xml:space="preserve">?</t>
    </r>
  </si>
  <si>
    <t xml:space="preserve">가족관계등록부</t>
  </si>
  <si>
    <t xml:space="preserve">의례</t>
  </si>
  <si>
    <r>
      <rPr>
        <sz val="10"/>
        <rFont val="Noto Sans CJK SC"/>
        <family val="2"/>
      </rPr>
      <t xml:space="preserve">남녀가 정식으로 부부가 되는 의례를 무엇이라고 합니까</t>
    </r>
    <r>
      <rPr>
        <sz val="10"/>
        <rFont val="Arial"/>
        <family val="0"/>
        <charset val="1"/>
      </rPr>
      <t xml:space="preserve">?</t>
    </r>
  </si>
  <si>
    <t xml:space="preserve">결혼식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</si>
  <si>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</si>
  <si>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큰일을 치르다</t>
  </si>
  <si>
    <r>
      <rPr>
        <sz val="10"/>
        <rFont val="Noto Sans CJK SC"/>
        <family val="2"/>
      </rPr>
      <t xml:space="preserve">나이 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여든 살을 다른 말로 무엇이라고 합니까</t>
    </r>
    <r>
      <rPr>
        <sz val="10"/>
        <rFont val="Arial"/>
        <family val="0"/>
        <charset val="1"/>
      </rPr>
      <t xml:space="preserve">?</t>
    </r>
  </si>
  <si>
    <t xml:space="preserve">팔순</t>
  </si>
  <si>
    <r>
      <rPr>
        <sz val="10"/>
        <rFont val="Noto Sans CJK SC"/>
        <family val="2"/>
      </rPr>
      <t xml:space="preserve">결혼식에 갈 때 축하하는 뜻으로 내는 돈은 무엇입니까</t>
    </r>
    <r>
      <rPr>
        <sz val="10"/>
        <rFont val="Arial"/>
        <family val="0"/>
        <charset val="1"/>
      </rPr>
      <t xml:space="preserve">?</t>
    </r>
  </si>
  <si>
    <t xml:space="preserve">축의금</t>
  </si>
  <si>
    <r>
      <rPr>
        <sz val="10"/>
        <rFont val="Noto Sans CJK SC"/>
        <family val="2"/>
      </rPr>
      <t xml:space="preserve">아기가 태어난 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개월이 되면 하는 잔치는 무엇입니까</t>
    </r>
    <r>
      <rPr>
        <sz val="10"/>
        <rFont val="Arial"/>
        <family val="0"/>
        <charset val="1"/>
      </rPr>
      <t xml:space="preserve">?</t>
    </r>
  </si>
  <si>
    <t xml:space="preserve">돌잔치</t>
  </si>
  <si>
    <r>
      <rPr>
        <sz val="10"/>
        <rFont val="Noto Sans CJK SC"/>
        <family val="2"/>
      </rPr>
      <t xml:space="preserve">나이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일흔 살을 다른 말로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</si>
  <si>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칠순 잔치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고희연</t>
    </r>
  </si>
  <si>
    <r>
      <rPr>
        <sz val="10"/>
        <rFont val="Noto Sans CJK SC"/>
        <family val="2"/>
      </rPr>
      <t xml:space="preserve">남자와 여자가 부부가 되기로 서약하는 의례를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</si>
  <si>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아기가 태어난지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일이되면 하는 기념 행사를 무엇이라고 합니까</t>
    </r>
    <r>
      <rPr>
        <sz val="10"/>
        <rFont val="Arial"/>
        <family val="0"/>
        <charset val="1"/>
      </rPr>
      <t xml:space="preserve">?</t>
    </r>
  </si>
  <si>
    <t xml:space="preserve">백일잔치</t>
  </si>
  <si>
    <r>
      <rPr>
        <sz val="10"/>
        <rFont val="Noto Sans CJK SC"/>
        <family val="2"/>
      </rPr>
      <t xml:space="preserve">전통사회에서 남자들의 성인식에 해당하는 유교 의례를 무엇이라고 합니까</t>
    </r>
    <r>
      <rPr>
        <sz val="10"/>
        <rFont val="Arial"/>
        <family val="0"/>
        <charset val="1"/>
      </rPr>
      <t xml:space="preserve">?</t>
    </r>
  </si>
  <si>
    <t xml:space="preserve">관례</t>
  </si>
  <si>
    <r>
      <rPr>
        <sz val="10"/>
        <rFont val="Noto Sans CJK SC"/>
        <family val="2"/>
      </rPr>
      <t xml:space="preserve">돌아가신 조상을 생각하며 음식을 바치고 정성을 다하는 의례를 무엇이라고 합니까</t>
    </r>
    <r>
      <rPr>
        <sz val="10"/>
        <rFont val="Arial"/>
        <family val="0"/>
        <charset val="1"/>
      </rPr>
      <t xml:space="preserve">?</t>
    </r>
  </si>
  <si>
    <t xml:space="preserve">제사</t>
  </si>
  <si>
    <r>
      <rPr>
        <sz val="10"/>
        <rFont val="Noto Sans CJK SC"/>
        <family val="2"/>
      </rPr>
      <t xml:space="preserve">사림이 태어나서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년 만에 맞는 생일을 가리키는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</si>
  <si>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환갑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회갑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잔치</t>
    </r>
  </si>
  <si>
    <r>
      <rPr>
        <sz val="10"/>
        <rFont val="Noto Sans CJK SC"/>
        <family val="2"/>
      </rPr>
      <t xml:space="preserve">죽은 사람의 시신을 처리하는 과정과 절차로 일련의 의례인 것을 무엇이라고 합니까</t>
    </r>
    <r>
      <rPr>
        <sz val="10"/>
        <rFont val="Arial"/>
        <family val="0"/>
        <charset val="1"/>
      </rPr>
      <t xml:space="preserve">?</t>
    </r>
  </si>
  <si>
    <t xml:space="preserve">장례식</t>
  </si>
  <si>
    <r>
      <rPr>
        <sz val="10"/>
        <rFont val="Noto Sans CJK SC"/>
        <family val="2"/>
      </rPr>
      <t xml:space="preserve">고인의 죽음에 대하여 슬퍼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망자 명목을 빌어 주는 것을 의미하는 것은 무엇입니까</t>
    </r>
    <r>
      <rPr>
        <sz val="10"/>
        <rFont val="Arial"/>
        <family val="0"/>
        <charset val="1"/>
      </rPr>
      <t xml:space="preserve">?</t>
    </r>
  </si>
  <si>
    <t xml:space="preserve">조문</t>
  </si>
  <si>
    <r>
      <rPr>
        <sz val="10"/>
        <rFont val="Noto Sans CJK SC"/>
        <family val="2"/>
      </rPr>
      <t xml:space="preserve">상주를 조문하는 상례 의식으로 죽은 사람과 그 가족을 위로하기 위해 방문하는 일은 무엇입니까</t>
    </r>
    <r>
      <rPr>
        <sz val="10"/>
        <rFont val="Arial"/>
        <family val="0"/>
        <charset val="1"/>
      </rPr>
      <t xml:space="preserve">?</t>
    </r>
  </si>
  <si>
    <t xml:space="preserve">문상</t>
  </si>
  <si>
    <r>
      <rPr>
        <sz val="10"/>
        <rFont val="Noto Sans CJK SC"/>
        <family val="2"/>
      </rPr>
      <t xml:space="preserve">아기가 태어난지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일이 되었을 때 건강하게 자란 아이를 축하하기 위해 하는 잔치는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</si>
  <si>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장례식 등 슬픈 일을 당한 가족에게 위로의 마음으로 내는 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</si>
  <si>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조의금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부의금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</si>
  <si>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</si>
  <si>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첫 돌 돌상에 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등을 올리고 아이에게 마음대로 골라잡게 하는 것을 무엇이라고 합니까</t>
    </r>
    <r>
      <rPr>
        <sz val="10"/>
        <rFont val="Arial"/>
        <family val="0"/>
        <charset val="1"/>
      </rPr>
      <t xml:space="preserve">?</t>
    </r>
  </si>
  <si>
    <t xml:space="preserve">돌잡이</t>
  </si>
  <si>
    <r>
      <rPr>
        <sz val="10"/>
        <rFont val="Noto Sans CJK SC"/>
        <family val="2"/>
      </rPr>
      <t xml:space="preserve">인간 관계에 있어서 사회적 지위에 따라 행동을 규제하는 규칙과 관습의 체계를 말하는 것은 무엇입니까</t>
    </r>
    <r>
      <rPr>
        <sz val="10"/>
        <rFont val="Arial"/>
        <family val="0"/>
        <charset val="1"/>
      </rPr>
      <t xml:space="preserve">?</t>
    </r>
  </si>
  <si>
    <t xml:space="preserve">예절</t>
  </si>
  <si>
    <r>
      <rPr>
        <sz val="10"/>
        <rFont val="Noto Sans CJK SC"/>
        <family val="2"/>
      </rPr>
      <t xml:space="preserve">아기가 태어나고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년이 되었을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아기가 태어나 처음 맞이하는 생일에 축하하는 의식을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</si>
  <si>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신령이나 죽은 사람의 넋에게 음식을 바치며 기원을 드리거나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돌아간 이를 추모하는 의식을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</si>
  <si>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사람이 태어나서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세 되는 행에 오래 살기를 기원하며 벌이는 잔치를 말하는 것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</si>
  <si>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</si>
  <si>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높이거나 낮추는 것이 없는 말로 상대방이 친구이거나 아랫사람 또는 어린이인 경우에 사용하는 말은 무엇입니까</t>
    </r>
    <r>
      <rPr>
        <sz val="10"/>
        <rFont val="Arial"/>
        <family val="0"/>
        <charset val="1"/>
      </rPr>
      <t xml:space="preserve">?</t>
    </r>
  </si>
  <si>
    <t xml:space="preserve">보통 말</t>
  </si>
  <si>
    <r>
      <rPr>
        <sz val="10"/>
        <rFont val="Noto Sans CJK SC"/>
        <family val="2"/>
      </rPr>
      <t xml:space="preserve">사람이 태어나서 만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세가 되는 해에 오래 살기를 기원하며 벌이는 잔치를 말하는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</si>
  <si>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</si>
  <si>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죽은 사람의 넋을 기리기 위해 음식을 차리는 것으로 돌아가신 다음 해부터 매년 지내는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</si>
  <si>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</si>
  <si>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첫번째 생일에 상을 차려 아이의 미래를 점치는 여러가지 물건을 올려놓고 아이에게 골라잡게 하는 일은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</si>
  <si>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죽은 사람의 시신을 처리하는 과정과 절차로 주로 장례식장에서 문상객을 맞이한 후 땅에 묻거나 화장하는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</si>
  <si>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</si>
  <si>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사람이나 사물을 높여서 이르는 말로 자신보다 나이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지위가 높거나 공적인 자리에서 각자의 지위나 나이에 상관없이 상관없이 사용하는 말은 무엇입니까</t>
    </r>
    <r>
      <rPr>
        <sz val="10"/>
        <rFont val="Arial"/>
        <family val="0"/>
        <charset val="1"/>
      </rPr>
      <t xml:space="preserve">?</t>
    </r>
  </si>
  <si>
    <t xml:space="preserve">높임말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</si>
  <si>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</si>
  <si>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제도와 생활</t>
  </si>
  <si>
    <t xml:space="preserve">증명서</t>
  </si>
  <si>
    <r>
      <rPr>
        <sz val="10"/>
        <rFont val="Noto Sans CJK SC"/>
        <family val="2"/>
      </rPr>
      <t xml:space="preserve">자격을 인정해주는 증서를 무엇이라고 합니까</t>
    </r>
    <r>
      <rPr>
        <sz val="10"/>
        <rFont val="Arial"/>
        <family val="0"/>
        <charset val="1"/>
      </rPr>
      <t xml:space="preserve">?</t>
    </r>
  </si>
  <si>
    <t xml:space="preserve">자격증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</si>
  <si>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</si>
  <si>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나를 증명하는 종이</t>
  </si>
  <si>
    <r>
      <rPr>
        <sz val="10"/>
        <rFont val="Noto Sans CJK SC"/>
        <family val="2"/>
      </rPr>
      <t xml:space="preserve">취업을 하기 위해 자신의 학력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등의 정보를 작성하여 회사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구인기관 등에 제출하는 문서는 무엇입니까</t>
    </r>
    <r>
      <rPr>
        <sz val="10"/>
        <rFont val="Arial"/>
        <family val="0"/>
        <charset val="1"/>
      </rPr>
      <t xml:space="preserve">?</t>
    </r>
  </si>
  <si>
    <t xml:space="preserve">이력서</t>
  </si>
  <si>
    <r>
      <rPr>
        <sz val="10"/>
        <rFont val="Noto Sans CJK SC"/>
        <family val="2"/>
      </rPr>
      <t xml:space="preserve">외국인 신분을 보장하기 위해 출입국 관리사무소에서 등록 절차를 통해 발급하는 문서는 무엇입니까</t>
    </r>
    <r>
      <rPr>
        <sz val="10"/>
        <rFont val="Arial"/>
        <family val="0"/>
        <charset val="1"/>
      </rPr>
      <t xml:space="preserve">?</t>
    </r>
  </si>
  <si>
    <t xml:space="preserve">외국인 등록증</t>
  </si>
  <si>
    <r>
      <rPr>
        <sz val="10"/>
        <rFont val="Noto Sans CJK SC"/>
        <family val="2"/>
      </rPr>
      <t xml:space="preserve">일정한 자격을 갖춘 자에 한하여 도로에서 자동차 또는 오토바이를 운전할 수 있게 하는 행정 처분 증서는 무엇입니까</t>
    </r>
    <r>
      <rPr>
        <sz val="10"/>
        <rFont val="Arial"/>
        <family val="0"/>
        <charset val="1"/>
      </rPr>
      <t xml:space="preserve">?</t>
    </r>
  </si>
  <si>
    <t xml:space="preserve">운전면허증</t>
  </si>
  <si>
    <r>
      <rPr>
        <sz val="10"/>
        <rFont val="Noto Sans CJK SC"/>
        <family val="2"/>
      </rPr>
      <t xml:space="preserve">취직을 위한 면접의 기회를 얻기 위해 회사 등에 제출하는 개인의 신상정보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경력 등을 시간 순으로 요약 혹은 나열한 문서는 무엇입니까</t>
    </r>
    <r>
      <rPr>
        <sz val="10"/>
        <rFont val="Arial"/>
        <family val="0"/>
        <charset val="1"/>
      </rPr>
      <t xml:space="preserve">?</t>
    </r>
  </si>
  <si>
    <t xml:space="preserve">재산 및 부동산</t>
  </si>
  <si>
    <r>
      <rPr>
        <sz val="10"/>
        <rFont val="Noto Sans CJK SC"/>
        <family val="2"/>
      </rPr>
      <t xml:space="preserve">집을 계약하기 전에 반드시 확인해봐야 하는 문서는 무엇입니까</t>
    </r>
    <r>
      <rPr>
        <sz val="10"/>
        <rFont val="Arial"/>
        <family val="0"/>
        <charset val="1"/>
      </rPr>
      <t xml:space="preserve">?</t>
    </r>
  </si>
  <si>
    <t xml:space="preserve">등기부등본</t>
  </si>
  <si>
    <t xml:space="preserve">집을 구하다</t>
  </si>
  <si>
    <r>
      <rPr>
        <sz val="10"/>
        <rFont val="Noto Sans CJK SC"/>
        <family val="2"/>
      </rPr>
      <t xml:space="preserve">계약이 성립되었음을 증명하기 위하여 작성하는 서류는 무엇입니까</t>
    </r>
    <r>
      <rPr>
        <sz val="10"/>
        <rFont val="Arial"/>
        <family val="0"/>
        <charset val="1"/>
      </rPr>
      <t xml:space="preserve">?</t>
    </r>
  </si>
  <si>
    <t xml:space="preserve">계약서</t>
  </si>
  <si>
    <r>
      <rPr>
        <sz val="10"/>
        <rFont val="Noto Sans CJK SC"/>
        <family val="2"/>
      </rPr>
      <t xml:space="preserve">다른 사람의 돈이나 물건을 빌린 것을 증명하는 문서는 무엇입니까</t>
    </r>
    <r>
      <rPr>
        <sz val="10"/>
        <rFont val="Arial"/>
        <family val="0"/>
        <charset val="1"/>
      </rPr>
      <t xml:space="preserve">?</t>
    </r>
  </si>
  <si>
    <t xml:space="preserve">차용증</t>
  </si>
  <si>
    <r>
      <rPr>
        <sz val="10"/>
        <rFont val="Noto Sans CJK SC"/>
        <family val="2"/>
      </rPr>
      <t xml:space="preserve">부동산에 관한 권리관계를 적어두는 동기부를 복사한 증명 문서는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</si>
  <si>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주택이나 상가 건물의 임대차에 대한 권리를 보호하기 위한 법률은 무엇입니까</t>
    </r>
    <r>
      <rPr>
        <sz val="10"/>
        <rFont val="Arial"/>
        <family val="0"/>
        <charset val="1"/>
      </rPr>
      <t xml:space="preserve">?</t>
    </r>
  </si>
  <si>
    <t xml:space="preserve">주택임대차보호법</t>
  </si>
  <si>
    <r>
      <rPr>
        <sz val="10"/>
        <rFont val="Noto Sans CJK SC"/>
        <family val="2"/>
      </rPr>
      <t xml:space="preserve">물건이나 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땅 등을 빌려줄 때 상대방과 하는 계약을 무슨 계약이라고 합니까</t>
    </r>
    <r>
      <rPr>
        <sz val="10"/>
        <rFont val="Arial"/>
        <family val="0"/>
        <charset val="1"/>
      </rPr>
      <t xml:space="preserve">?</t>
    </r>
  </si>
  <si>
    <t xml:space="preserve">임대차계약</t>
  </si>
  <si>
    <r>
      <rPr>
        <sz val="10"/>
        <rFont val="Noto Sans CJK SC"/>
        <family val="2"/>
      </rPr>
      <t xml:space="preserve">금전 또는 물품을 빌리고자 할 때 차용인과 채권자 사이에 작성하는 문서를 무엇이라고 합니까</t>
    </r>
    <r>
      <rPr>
        <sz val="10"/>
        <rFont val="Arial"/>
        <family val="0"/>
        <charset val="1"/>
      </rPr>
      <t xml:space="preserve">?</t>
    </r>
  </si>
  <si>
    <t xml:space="preserve">당사자가 계약 목적물을 매매할 것을 합의하고 매수인이 매도자에게 매매대금을 지급할 것을 약정함</t>
  </si>
  <si>
    <t xml:space="preserve">매매계약서</t>
  </si>
  <si>
    <r>
      <rPr>
        <sz val="10"/>
        <rFont val="Noto Sans CJK SC"/>
        <family val="2"/>
      </rPr>
      <t xml:space="preserve">거주지를 옮길 때에 새로 살게 된 곳의 관할 관청에 그 사실을 알리는 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그 서류는 무엇입니까</t>
    </r>
    <r>
      <rPr>
        <sz val="10"/>
        <rFont val="Arial"/>
        <family val="0"/>
        <charset val="1"/>
      </rPr>
      <t xml:space="preserve">?</t>
    </r>
  </si>
  <si>
    <t xml:space="preserve">전입신고</t>
  </si>
  <si>
    <r>
      <rPr>
        <sz val="10"/>
        <rFont val="Noto Sans CJK SC"/>
        <family val="2"/>
      </rPr>
      <t xml:space="preserve">다른 사람의 집에 월세나 전세로 사는 사람을 보호하는 법은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</si>
  <si>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</si>
  <si>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부동산이나 물건을 사용하게 하고 이에 대한 임차료를 지급할 것을 내용으로 하는 계약서</t>
  </si>
  <si>
    <t xml:space="preserve">임대차계약서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</si>
  <si>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</si>
  <si>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국민 주거생활의 안정을 보장함을 목적으로 주거용 건물의 임대차에 관하여 민법에 대한 특례를 규정 법률은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</si>
  <si>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</si>
  <si>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거주지를 옮기는 경우 전입한 날부터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이내에 새로운 거주지의 행정복지센터에 그 사실을 신고하는 일을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</si>
  <si>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법원 또는 행정복지센터 등에서 주택임대차 계약을 한 날짜를 확인해 주기 위해 임대차 계약서에 도장을 찍어 주는 날짜를 무엇이라고 합니까</t>
    </r>
    <r>
      <rPr>
        <sz val="10"/>
        <rFont val="Arial"/>
        <family val="0"/>
        <charset val="1"/>
      </rPr>
      <t xml:space="preserve">?</t>
    </r>
  </si>
  <si>
    <t xml:space="preserve">확정일자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</si>
  <si>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</si>
  <si>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임대차계약을 하고 임대차 보증금에 대해 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자에게 대항력을 갖게 하기 위해 계약 체결일자를 관련 기관에서 확인하여 주는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</si>
  <si>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</si>
  <si>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부동산에 관한 권리관계와 현황이 적혀 있는 공적인 문서로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집이나 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건물 등과 같은 부동산 계약을 할 때 계약자가 실제 주인인지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은행 빚이 없는지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압류 등 다른 법적인 문제는 없는지를 반드시 확인 해야하는 문서는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</si>
  <si>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(129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</si>
  <si>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관공서</t>
  </si>
  <si>
    <r>
      <rPr>
        <sz val="10"/>
        <rFont val="Noto Sans CJK SC"/>
        <family val="2"/>
      </rPr>
      <t xml:space="preserve">국가 또는 지방자치단체의 사무를 처리하는 기관은 무엇입니까</t>
    </r>
    <r>
      <rPr>
        <sz val="10"/>
        <rFont val="Arial"/>
        <family val="0"/>
        <charset val="1"/>
      </rPr>
      <t xml:space="preserve">?</t>
    </r>
  </si>
  <si>
    <t xml:space="preserve">어디로 가야 하나</t>
  </si>
  <si>
    <r>
      <rPr>
        <sz val="10"/>
        <rFont val="Noto Sans CJK SC"/>
        <family val="2"/>
      </rPr>
      <t xml:space="preserve">범죄를 예방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진압하고 치안을 유지하는 국가기관은 어디입니까</t>
    </r>
    <r>
      <rPr>
        <sz val="10"/>
        <rFont val="Arial"/>
        <family val="0"/>
        <charset val="1"/>
      </rPr>
      <t xml:space="preserve">?</t>
    </r>
  </si>
  <si>
    <t xml:space="preserve">경찰서</t>
  </si>
  <si>
    <r>
      <rPr>
        <sz val="10"/>
        <rFont val="Noto Sans CJK SC"/>
        <family val="2"/>
      </rPr>
      <t xml:space="preserve">대한민국의 각종 통계 업무를 처리하는 사무를 맡아보는 기관은 무엇입니까</t>
    </r>
    <r>
      <rPr>
        <sz val="10"/>
        <rFont val="Arial"/>
        <family val="0"/>
        <charset val="1"/>
      </rPr>
      <t xml:space="preserve">?</t>
    </r>
  </si>
  <si>
    <t xml:space="preserve">통계청</t>
  </si>
  <si>
    <r>
      <rPr>
        <sz val="10"/>
        <rFont val="Noto Sans CJK SC"/>
        <family val="2"/>
      </rPr>
      <t xml:space="preserve">교육부 아래 각 지역의 교육에 관한 일을 맡아 보는 정부 기관은 어디입니까</t>
    </r>
    <r>
      <rPr>
        <sz val="10"/>
        <rFont val="Arial"/>
        <family val="0"/>
        <charset val="1"/>
      </rPr>
      <t xml:space="preserve">?</t>
    </r>
  </si>
  <si>
    <t xml:space="preserve">교육청</t>
  </si>
  <si>
    <r>
      <rPr>
        <sz val="10"/>
        <rFont val="Noto Sans CJK SC"/>
        <family val="2"/>
      </rPr>
      <t xml:space="preserve">선거와 국민투표의 공정한 관리에 관한 사무를 담당하는 공공기관은 무엇입니까</t>
    </r>
    <r>
      <rPr>
        <sz val="10"/>
        <rFont val="Arial"/>
        <family val="0"/>
        <charset val="1"/>
      </rPr>
      <t xml:space="preserve">?</t>
    </r>
  </si>
  <si>
    <t xml:space="preserve">선거관리위원회</t>
  </si>
  <si>
    <r>
      <rPr>
        <sz val="10"/>
        <rFont val="Noto Sans CJK SC"/>
        <family val="2"/>
      </rPr>
      <t xml:space="preserve">일정한 구역을 중심으로 국가의 경찰권을 운영하는 경찰 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</si>
  <si>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날씨의 상태를 관찰하고 예측하여 일기 예보와 같은 정보를 알리는 국가기관은 무엇입니까</t>
    </r>
    <r>
      <rPr>
        <sz val="10"/>
        <rFont val="Arial"/>
        <family val="0"/>
        <charset val="1"/>
      </rPr>
      <t xml:space="preserve">?</t>
    </r>
  </si>
  <si>
    <t xml:space="preserve">기상청</t>
  </si>
  <si>
    <r>
      <rPr>
        <sz val="10"/>
        <rFont val="Noto Sans CJK SC"/>
        <family val="2"/>
      </rPr>
      <t xml:space="preserve">통계의 기준 설정과 인구 조사 및 각종 통계에 관한 사무를 맡아보는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</si>
  <si>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예방접종과 치료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건강관리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산모와 신생아 건강관리를 위해 국가에 운영하는 기관은 무엇입니까</t>
    </r>
    <r>
      <rPr>
        <sz val="10"/>
        <rFont val="Arial"/>
        <family val="0"/>
        <charset val="1"/>
      </rPr>
      <t xml:space="preserve">?</t>
    </r>
  </si>
  <si>
    <t xml:space="preserve">보건소</t>
  </si>
  <si>
    <r>
      <rPr>
        <sz val="10"/>
        <rFont val="Noto Sans CJK SC"/>
        <family val="2"/>
      </rPr>
      <t xml:space="preserve">내외국인의 출입국관리에 관한 사무를 관장하는 법무부 소속 행정기관은 어디입니까</t>
    </r>
    <r>
      <rPr>
        <sz val="10"/>
        <rFont val="Arial"/>
        <family val="0"/>
        <charset val="1"/>
      </rPr>
      <t xml:space="preserve">?</t>
    </r>
  </si>
  <si>
    <t xml:space="preserve">출입국관리사무소</t>
  </si>
  <si>
    <r>
      <rPr>
        <sz val="10"/>
        <rFont val="Noto Sans CJK SC"/>
        <family val="2"/>
      </rPr>
      <t xml:space="preserve">치안경찰에 관한 사무를 총괄하기 위하여 행정안전부장관 소속 아래에 둔 중앙행정기관은 무엇입니까</t>
    </r>
    <r>
      <rPr>
        <sz val="10"/>
        <rFont val="Arial"/>
        <family val="0"/>
        <charset val="1"/>
      </rPr>
      <t xml:space="preserve">?</t>
    </r>
  </si>
  <si>
    <t xml:space="preserve">경찰청</t>
  </si>
  <si>
    <r>
      <rPr>
        <sz val="10"/>
        <rFont val="Noto Sans CJK SC"/>
        <family val="2"/>
      </rPr>
      <t xml:space="preserve">시나 군을 단위로 초등학교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고등학교의 교육과 관련된 일을 맡아 하는 기관은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</si>
  <si>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국방부 소속으로 징집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소집 따위의 병무 행정에 관한 사무를 맡아보는 국방부 산하의 행정기관은 무엇입니까</t>
    </r>
    <r>
      <rPr>
        <sz val="10"/>
        <rFont val="Arial"/>
        <family val="0"/>
        <charset val="1"/>
      </rPr>
      <t xml:space="preserve">?</t>
    </r>
  </si>
  <si>
    <t xml:space="preserve">병무청</t>
  </si>
  <si>
    <r>
      <rPr>
        <sz val="10"/>
        <rFont val="Noto Sans CJK SC"/>
        <family val="2"/>
      </rPr>
      <t xml:space="preserve">우리나라의 기상 상태를 관측하고 예보하며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기상과 기후 정보를 생산하고 연구하는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</si>
  <si>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독점 및 불공정거래에 관한 사안을 심의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의결하기 위해 설립된 국무총리 소속의 중앙행정기관은 무엇입니까</t>
    </r>
    <r>
      <rPr>
        <sz val="10"/>
        <rFont val="Arial"/>
        <family val="0"/>
        <charset val="1"/>
      </rPr>
      <t xml:space="preserve">?</t>
    </r>
  </si>
  <si>
    <t xml:space="preserve">공정거래위원회</t>
  </si>
  <si>
    <r>
      <rPr>
        <sz val="10"/>
        <rFont val="Noto Sans CJK SC"/>
        <family val="2"/>
      </rPr>
      <t xml:space="preserve">일정한 행정구역을 중심으로 국가의 경찰권 운영하는 행정기관으로서 일선치안업무를 관장하는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</si>
  <si>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방송과 통신에 관한 정책수립과 규제 및 이용자 보호 등의 업무를 관장하는 대통령 직속 기구는 무엇입니까</t>
    </r>
    <r>
      <rPr>
        <sz val="10"/>
        <rFont val="Arial"/>
        <family val="0"/>
        <charset val="1"/>
      </rPr>
      <t xml:space="preserve">?</t>
    </r>
  </si>
  <si>
    <t xml:space="preserve">방송통신위원회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</si>
  <si>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</si>
  <si>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보건행정의 합리적인 운영과 국민 보건의 향상을 도모하기 위하여 전국의 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구 단위에 설치된 보건행정기관은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</si>
  <si>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생명과 재산 보호 및 공공의 안녕과 질서유지를 위하여 국민을 계몽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지도 또는 명령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강제하는 일을 하는 사람은 누구입니까</t>
    </r>
    <r>
      <rPr>
        <sz val="10"/>
        <rFont val="Arial"/>
        <family val="0"/>
        <charset val="1"/>
      </rPr>
      <t xml:space="preserve">?</t>
    </r>
  </si>
  <si>
    <t xml:space="preserve">경찰</t>
  </si>
  <si>
    <r>
      <rPr>
        <sz val="10"/>
        <rFont val="Noto Sans CJK SC"/>
        <family val="2"/>
      </rPr>
      <t xml:space="preserve">소방 및 방화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대국민 신변안전과리 감독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재난대비 및 복구관리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사후관리대책 등의 사무를 관장하기 위한 중앙행정기관은 무엇입니까</t>
    </r>
    <r>
      <rPr>
        <sz val="10"/>
        <rFont val="Arial"/>
        <family val="0"/>
        <charset val="1"/>
      </rPr>
      <t xml:space="preserve">?</t>
    </r>
  </si>
  <si>
    <t xml:space="preserve">소방청</t>
  </si>
  <si>
    <r>
      <rPr>
        <sz val="10"/>
        <rFont val="Noto Sans CJK SC"/>
        <family val="2"/>
      </rPr>
      <t xml:space="preserve">화재예방과 진압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인명 구조와 구급 등의 업무를 담당하는 행정기관으로 화재를 예방하고 진압하는 등 소방 업무를 담당하는 행정기관은 무엇입니까</t>
    </r>
    <r>
      <rPr>
        <sz val="10"/>
        <rFont val="Arial"/>
        <family val="0"/>
        <charset val="1"/>
      </rPr>
      <t xml:space="preserve">?</t>
    </r>
  </si>
  <si>
    <t xml:space="preserve">소방서</t>
  </si>
  <si>
    <r>
      <rPr>
        <sz val="10"/>
        <rFont val="Noto Sans CJK SC"/>
        <family val="2"/>
      </rPr>
      <t xml:space="preserve">산림의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산림자원의 증식과 임산물의 이용개발 및 산림경영의 연구와 개선업무를 관장하는 농림축산식품부 소속 중앙행정기관은 무엇입니까</t>
    </r>
    <r>
      <rPr>
        <sz val="10"/>
        <rFont val="Arial"/>
        <family val="0"/>
        <charset val="1"/>
      </rPr>
      <t xml:space="preserve">?</t>
    </r>
  </si>
  <si>
    <t xml:space="preserve">산림청</t>
  </si>
  <si>
    <r>
      <rPr>
        <sz val="10"/>
        <rFont val="Noto Sans CJK SC"/>
        <family val="2"/>
      </rPr>
      <t xml:space="preserve">국민의 생명과 신체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재산의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범죄의 예방과 진압 및 수사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교통 단속과 위해의 방지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밖의 질서유지 등의 일을 담당하는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</si>
  <si>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도의 교육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학예에 관한 사무를 분장하게 하기 위하여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이상의 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군 및 자치구를 관할 구역으로 해서 설치된 교육행정기관은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</si>
  <si>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우편 업무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즉 편지나 소포 등을 모아 배달하는 일을 하는 곳으로 우편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우편환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우편대체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우체국예금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우체국보험에 관한 사무를 시행하기 위한 기관은 어디입니까</t>
    </r>
    <r>
      <rPr>
        <sz val="10"/>
        <rFont val="Arial"/>
        <family val="0"/>
        <charset val="1"/>
      </rPr>
      <t xml:space="preserve">?</t>
    </r>
  </si>
  <si>
    <t xml:space="preserve">우체국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</si>
  <si>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</si>
  <si>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일정한 행정구역을 중심으로 국가의 경찰권을 운영하는 행정기관으로서 국가의 안녕과 질서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관내치안유지 및 국민의 생명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재산 보호 등을 그 주요 업무로 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</si>
  <si>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</si>
  <si>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국민의 생명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신체 및 재산의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범죄의 예방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진압 및 수사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요인경호 및 대간첩작전 수행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치안정보의 수집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작성 및 배포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교통의 단속과 위해 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 공공의 안녕과 질서 유지에 관한 사무를 보는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</si>
  <si>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(131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</si>
  <si>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생활</t>
  </si>
  <si>
    <r>
      <rPr>
        <sz val="10"/>
        <rFont val="Noto Sans CJK SC"/>
        <family val="2"/>
      </rPr>
      <t xml:space="preserve">정신질환을 진료하는 과는 무엇입니까</t>
    </r>
    <r>
      <rPr>
        <sz val="10"/>
        <rFont val="Arial"/>
        <family val="0"/>
        <charset val="1"/>
      </rPr>
      <t xml:space="preserve">?</t>
    </r>
  </si>
  <si>
    <t xml:space="preserve">정신건강의학과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</si>
  <si>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</si>
  <si>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하루를 살아가다</t>
  </si>
  <si>
    <r>
      <rPr>
        <sz val="10"/>
        <rFont val="Noto Sans CJK SC"/>
        <family val="2"/>
      </rPr>
      <t xml:space="preserve">의료에 쓰이는 약품을 무엇이라고 합니까</t>
    </r>
    <r>
      <rPr>
        <sz val="10"/>
        <rFont val="Arial"/>
        <family val="0"/>
        <charset val="1"/>
      </rPr>
      <t xml:space="preserve">?</t>
    </r>
  </si>
  <si>
    <t xml:space="preserve">의약품</t>
  </si>
  <si>
    <r>
      <rPr>
        <sz val="10"/>
        <rFont val="Noto Sans CJK SC"/>
        <family val="2"/>
      </rPr>
      <t xml:space="preserve">한국인 최초의 유엔사무총장은 누구입니까</t>
    </r>
    <r>
      <rPr>
        <sz val="10"/>
        <rFont val="Arial"/>
        <family val="0"/>
        <charset val="1"/>
      </rPr>
      <t xml:space="preserve">?</t>
    </r>
  </si>
  <si>
    <t xml:space="preserve">반기문</t>
  </si>
  <si>
    <r>
      <rPr>
        <sz val="10"/>
        <rFont val="Noto Sans CJK SC"/>
        <family val="2"/>
      </rPr>
      <t xml:space="preserve">아이가 아프면 어느 병원에 데려가야 합니까</t>
    </r>
    <r>
      <rPr>
        <sz val="10"/>
        <rFont val="Arial"/>
        <family val="0"/>
        <charset val="1"/>
      </rPr>
      <t xml:space="preserve">?</t>
    </r>
  </si>
  <si>
    <t xml:space="preserve">소아청소년과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</si>
  <si>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</si>
  <si>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플라스틱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캔 분리수거 방법</t>
    </r>
  </si>
  <si>
    <r>
      <rPr>
        <sz val="10"/>
        <rFont val="Noto Sans CJK SC"/>
        <family val="2"/>
      </rPr>
      <t xml:space="preserve">뚜껑을 모두 제거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내용물을 비우고 세척 후 배출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생수병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페트병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비닐 제거 후 압착하여 배출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내용물을 비우고 배출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부탄가스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살충제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구멍 뚫고 남은 가스를 모두 배출한 후 분리수거</t>
    </r>
  </si>
  <si>
    <r>
      <rPr>
        <sz val="10"/>
        <rFont val="Noto Sans CJK SC"/>
        <family val="2"/>
      </rPr>
      <t xml:space="preserve">눈에 관련된 병을 진료하는 과는 무엇입니까</t>
    </r>
    <r>
      <rPr>
        <sz val="10"/>
        <rFont val="Arial"/>
        <family val="0"/>
        <charset val="1"/>
      </rPr>
      <t xml:space="preserve">?</t>
    </r>
  </si>
  <si>
    <t xml:space="preserve">안과</t>
  </si>
  <si>
    <r>
      <rPr>
        <sz val="10"/>
        <rFont val="Noto Sans CJK SC"/>
        <family val="2"/>
      </rPr>
      <t xml:space="preserve">임신 확인 검사를 하려면 어디로 가야 합니까</t>
    </r>
    <r>
      <rPr>
        <sz val="10"/>
        <rFont val="Arial"/>
        <family val="0"/>
        <charset val="1"/>
      </rPr>
      <t xml:space="preserve">?</t>
    </r>
  </si>
  <si>
    <t xml:space="preserve">산부인과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</si>
  <si>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</si>
  <si>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대한민국의 교육 전문 공영 방송은 무엇입니까</t>
    </r>
    <r>
      <rPr>
        <sz val="10"/>
        <rFont val="Arial"/>
        <family val="0"/>
        <charset val="1"/>
      </rPr>
      <t xml:space="preserve">?</t>
    </r>
  </si>
  <si>
    <t xml:space="preserve">EBS</t>
  </si>
  <si>
    <t xml:space="preserve">thing</t>
  </si>
  <si>
    <r>
      <rPr>
        <sz val="10"/>
        <rFont val="Noto Sans CJK SC"/>
        <family val="2"/>
      </rPr>
      <t xml:space="preserve">두통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어지러운 증상을 진료하는 과는 무엇입니까</t>
    </r>
    <r>
      <rPr>
        <sz val="10"/>
        <rFont val="Arial"/>
        <family val="0"/>
        <charset val="1"/>
      </rPr>
      <t xml:space="preserve">?</t>
    </r>
  </si>
  <si>
    <t xml:space="preserve">신경과</t>
  </si>
  <si>
    <r>
      <rPr>
        <sz val="10"/>
        <rFont val="Noto Sans CJK SC"/>
        <family val="2"/>
      </rPr>
      <t xml:space="preserve">쓰레기 배출 방법을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</si>
  <si>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일반쓰레기는 종량제봉투에 담아 배출한다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대형 폐기물은 스티커를 부착 후 배출한다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음식물 쓰레기는 전용 종량제 봉투에 담아 배출하거나 칩 및 스티커를 수거용기에 부착하여 배출한다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재활용품은 이물질을 제거한 후 종류별로 나누어 담아 배출한다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</si>
  <si>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약사가 처방에 의하여 약을 지어주는 곳은 어디입니까</t>
    </r>
    <r>
      <rPr>
        <sz val="10"/>
        <rFont val="Arial"/>
        <family val="0"/>
        <charset val="1"/>
      </rPr>
      <t xml:space="preserve">?</t>
    </r>
  </si>
  <si>
    <t xml:space="preserve">약국</t>
  </si>
  <si>
    <r>
      <rPr>
        <sz val="10"/>
        <rFont val="Noto Sans CJK SC"/>
        <family val="2"/>
      </rPr>
      <t xml:space="preserve">수술적 치료를 주요 목적으로 하는 진료과는 무엇입니까</t>
    </r>
    <r>
      <rPr>
        <sz val="10"/>
        <rFont val="Arial"/>
        <family val="0"/>
        <charset val="1"/>
      </rPr>
      <t xml:space="preserve">?</t>
    </r>
  </si>
  <si>
    <t xml:space="preserve">외과</t>
  </si>
  <si>
    <r>
      <rPr>
        <sz val="10"/>
        <rFont val="Noto Sans CJK SC"/>
        <family val="2"/>
      </rPr>
      <t xml:space="preserve">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목에 관련된 병을 진료하는 과는 무엇입니까</t>
    </r>
    <r>
      <rPr>
        <sz val="10"/>
        <rFont val="Arial"/>
        <family val="0"/>
        <charset val="1"/>
      </rPr>
      <t xml:space="preserve">?</t>
    </r>
  </si>
  <si>
    <t xml:space="preserve">이비인후과</t>
  </si>
  <si>
    <r>
      <rPr>
        <sz val="10"/>
        <rFont val="Noto Sans CJK SC"/>
        <family val="2"/>
      </rPr>
      <t xml:space="preserve">가톨릭 그리스도의 정통 교의를 믿는 종교는 무엇입니까</t>
    </r>
    <r>
      <rPr>
        <sz val="10"/>
        <rFont val="Arial"/>
        <family val="0"/>
        <charset val="1"/>
      </rPr>
      <t xml:space="preserve">?</t>
    </r>
  </si>
  <si>
    <t xml:space="preserve">가톨릭교</t>
  </si>
  <si>
    <r>
      <rPr>
        <sz val="10"/>
        <rFont val="Noto Sans CJK SC"/>
        <family val="2"/>
      </rPr>
      <t xml:space="preserve">종이 분리수거 방법은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</si>
  <si>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물에 젖지 않는 상태로 보관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내용물을 비우고 세척 후 배출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신문지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끈으로 묶어서 한 곳에 배출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박스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테이프를 제거한 뒤 펼친 후 분리수거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우유팩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세척 후 일반 종이와 혼합되지 않도록 구분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종이컵라면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용기 뚜껑은 제거하고 내용물을 세척한 뒤 폐지와 함께 배출</t>
    </r>
  </si>
  <si>
    <r>
      <rPr>
        <sz val="10"/>
        <rFont val="Noto Sans CJK SC"/>
        <family val="2"/>
      </rPr>
      <t xml:space="preserve">임신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분만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부인병에 관계있는 병을 진료하는 과는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</si>
  <si>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피부에 증상이 나타나는 모든 질환을 진료하는 과는 무엇입니까</t>
    </r>
    <r>
      <rPr>
        <sz val="10"/>
        <rFont val="Arial"/>
        <family val="0"/>
        <charset val="1"/>
      </rPr>
      <t xml:space="preserve">?</t>
    </r>
  </si>
  <si>
    <t xml:space="preserve">피부과</t>
  </si>
  <si>
    <r>
      <rPr>
        <sz val="10"/>
        <rFont val="Noto Sans CJK SC"/>
        <family val="2"/>
      </rPr>
      <t xml:space="preserve">예수 그리스도의 인격과 교훈을 중심으로 하는 종교는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</si>
  <si>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개신교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기독교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</si>
  <si>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년 한국인 최초로 노벨평화상을 수상한 인물은 누구입니까</t>
    </r>
    <r>
      <rPr>
        <sz val="10"/>
        <rFont val="Arial"/>
        <family val="0"/>
        <charset val="1"/>
      </rPr>
      <t xml:space="preserve">?</t>
    </r>
  </si>
  <si>
    <t xml:space="preserve">김대중 전 대통령</t>
  </si>
  <si>
    <r>
      <rPr>
        <sz val="10"/>
        <rFont val="Noto Sans CJK SC"/>
        <family val="2"/>
      </rPr>
      <t xml:space="preserve">우리나라 문화재의 주인은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</si>
  <si>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 모두의 것입니다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</si>
  <si>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우편으로 전달되는 서신이나 물품을 통틀어 이르는 말은 무엇입니까</t>
    </r>
    <r>
      <rPr>
        <sz val="10"/>
        <rFont val="Arial"/>
        <family val="0"/>
        <charset val="1"/>
      </rPr>
      <t xml:space="preserve">?</t>
    </r>
  </si>
  <si>
    <t xml:space="preserve">우편</t>
  </si>
  <si>
    <r>
      <rPr>
        <sz val="10"/>
        <rFont val="Noto Sans CJK SC"/>
        <family val="2"/>
      </rPr>
      <t xml:space="preserve">근육이나 뼈 등 운동기관의 기능 장애를 진료하는 과는 무엇입니까</t>
    </r>
    <r>
      <rPr>
        <sz val="10"/>
        <rFont val="Arial"/>
        <family val="0"/>
        <charset val="1"/>
      </rPr>
      <t xml:space="preserve">?</t>
    </r>
  </si>
  <si>
    <t xml:space="preserve">정형외과</t>
  </si>
  <si>
    <r>
      <rPr>
        <sz val="10"/>
        <rFont val="Noto Sans CJK SC"/>
        <family val="2"/>
      </rPr>
      <t xml:space="preserve">입안 및 치아의 질병이나 손상을 예방하고 치료하는 과는 무엇입니까</t>
    </r>
    <r>
      <rPr>
        <sz val="10"/>
        <rFont val="Arial"/>
        <family val="0"/>
        <charset val="1"/>
      </rPr>
      <t xml:space="preserve">?</t>
    </r>
  </si>
  <si>
    <t xml:space="preserve">치과</t>
  </si>
  <si>
    <r>
      <rPr>
        <sz val="10"/>
        <rFont val="Noto Sans CJK SC"/>
        <family val="2"/>
      </rPr>
      <t xml:space="preserve">병원에서 진료를 받은 다음 처방전을 가지고 가야하는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</si>
  <si>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대한민국을 상징하는 것들을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</si>
  <si>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고추장 등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</si>
  <si>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</si>
  <si>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감기에 걸리면 병원에서 받아 약국에서 가져가서 내는 것은 무엇입니까</t>
    </r>
    <r>
      <rPr>
        <sz val="10"/>
        <rFont val="Arial"/>
        <family val="0"/>
        <charset val="1"/>
      </rPr>
      <t xml:space="preserve">?</t>
    </r>
  </si>
  <si>
    <t xml:space="preserve">처방전</t>
  </si>
  <si>
    <r>
      <rPr>
        <sz val="10"/>
        <rFont val="Noto Sans CJK SC"/>
        <family val="2"/>
      </rPr>
      <t xml:space="preserve">외국에 있는 친구나 아는 사람에게 인터넷으로 보내는 편지는 무엇입니까</t>
    </r>
    <r>
      <rPr>
        <sz val="10"/>
        <rFont val="Arial"/>
        <family val="0"/>
        <charset val="1"/>
      </rPr>
      <t xml:space="preserve">?</t>
    </r>
  </si>
  <si>
    <t xml:space="preserve">이메일</t>
  </si>
  <si>
    <r>
      <rPr>
        <sz val="10"/>
        <rFont val="Noto Sans CJK SC"/>
        <family val="2"/>
      </rPr>
      <t xml:space="preserve">임차인이 임대인에게 월 단위로 집세를 내는 임대차 계약방식은 무엇입니까</t>
    </r>
    <r>
      <rPr>
        <sz val="10"/>
        <rFont val="Arial"/>
        <family val="0"/>
        <charset val="1"/>
      </rPr>
      <t xml:space="preserve">?</t>
    </r>
  </si>
  <si>
    <t xml:space="preserve">월세</t>
  </si>
  <si>
    <r>
      <rPr>
        <sz val="10"/>
        <rFont val="Noto Sans CJK SC"/>
        <family val="2"/>
      </rPr>
      <t xml:space="preserve">치아교정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스케일링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치아신경 치료 등을 진료하는 과는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</si>
  <si>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공원 및 공공장소 예절에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</si>
  <si>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화장실 등 공공시설을 깨끗하게 사용한다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쓰레기를 함부로 버리지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주차할 때 지정된 장소에서 한다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담배는 흡연할 수 있는 장소에서 하여야 한다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지나친 소음으로 이웃에게 피해를 주지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애완견을 데리고 산책할 때는 반드시 목줄을 하고 배설물을 잘 치운다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</si>
  <si>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집주인에게 매달 일정한 돈을 내고 집이나 방을 빌려 쓰는 형태는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</si>
  <si>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혼인신고를 안하고 부부중 한 명이 사망했다면 상대방의 재산 상속이 가능한가</t>
    </r>
    <r>
      <rPr>
        <sz val="10"/>
        <rFont val="Arial"/>
        <family val="0"/>
        <charset val="1"/>
      </rPr>
      <t xml:space="preserve">?</t>
    </r>
  </si>
  <si>
    <t xml:space="preserve">불가능</t>
  </si>
  <si>
    <r>
      <rPr>
        <sz val="10"/>
        <rFont val="Noto Sans CJK SC"/>
        <family val="2"/>
      </rPr>
      <t xml:space="preserve">임신 및 출산과 여성의 생식기에 관련된 질환 치료를 하는 진료과는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</si>
  <si>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컴퓨터의 단말기 이용자끼리 통신 회선을 이용하여 주고받는 글을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</si>
  <si>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박물관 및 영화관 예절에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</si>
  <si>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전시된 작품을 훼손시키거나 오염 시키지 않고 눈으로만 감상한다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음식물을 반입하지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조용히 관람하며 휴대폰은 무음으로 설정한다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사진 촬영을 하지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</si>
  <si>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아파트와 같은 공동 주택에서 아랫집에 들리는 윗집의 생활 소음을 무엇이라고 합니까</t>
    </r>
    <r>
      <rPr>
        <sz val="10"/>
        <rFont val="Arial"/>
        <family val="0"/>
        <charset val="1"/>
      </rPr>
      <t xml:space="preserve">?</t>
    </r>
  </si>
  <si>
    <t xml:space="preserve">층간소음</t>
  </si>
  <si>
    <r>
      <rPr>
        <sz val="10"/>
        <rFont val="Noto Sans CJK SC"/>
        <family val="2"/>
      </rPr>
      <t xml:space="preserve">병원에서 의사 진료 후 처방전을 받아야만 약국에서 구입할 수 있는 것은 무엇입니까</t>
    </r>
    <r>
      <rPr>
        <sz val="10"/>
        <rFont val="Arial"/>
        <family val="0"/>
        <charset val="1"/>
      </rPr>
      <t xml:space="preserve">?</t>
    </r>
  </si>
  <si>
    <t xml:space="preserve">전문의약품</t>
  </si>
  <si>
    <r>
      <rPr>
        <sz val="10"/>
        <rFont val="Noto Sans CJK SC"/>
        <family val="2"/>
      </rPr>
      <t xml:space="preserve">상처 교정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기능 장애 회복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외모 개선을 위해 전문적으로 진료하는 과는 무엇입니까</t>
    </r>
    <r>
      <rPr>
        <sz val="10"/>
        <rFont val="Arial"/>
        <family val="0"/>
        <charset val="1"/>
      </rPr>
      <t xml:space="preserve">?</t>
    </r>
  </si>
  <si>
    <t xml:space="preserve">성형외과</t>
  </si>
  <si>
    <r>
      <rPr>
        <sz val="10"/>
        <rFont val="Noto Sans CJK SC"/>
        <family val="2"/>
      </rPr>
      <t xml:space="preserve">제사를 마친 후에 가족들이 함께 모여 제사 음식을 나누어 먹는 것을 무엇이라고 합니까</t>
    </r>
    <r>
      <rPr>
        <sz val="10"/>
        <rFont val="Arial"/>
        <family val="0"/>
        <charset val="1"/>
      </rPr>
      <t xml:space="preserve">?</t>
    </r>
  </si>
  <si>
    <t xml:space="preserve">음복</t>
  </si>
  <si>
    <r>
      <rPr>
        <sz val="10"/>
        <rFont val="Noto Sans CJK SC"/>
        <family val="2"/>
      </rPr>
      <t xml:space="preserve">우리나라 문화재는 어떻게 다루어야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</si>
  <si>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훼손되지 않도록 소중히 다루어야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</si>
  <si>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기원전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세기경 인도의 석가모니가 창시한 후 동양 여러 나라에 전파된 종교는 무엇입니까</t>
    </r>
    <r>
      <rPr>
        <sz val="10"/>
        <rFont val="Arial"/>
        <family val="0"/>
        <charset val="1"/>
      </rPr>
      <t xml:space="preserve">?</t>
    </r>
  </si>
  <si>
    <t xml:space="preserve">불교</t>
  </si>
  <si>
    <r>
      <rPr>
        <sz val="10"/>
        <rFont val="Noto Sans CJK SC"/>
        <family val="2"/>
      </rPr>
      <t xml:space="preserve">여러 상인들이 모여서 갖가지 물건을 직접 판매하는 전통적 구조의 시장을 무엇이라고 합니까</t>
    </r>
    <r>
      <rPr>
        <sz val="10"/>
        <rFont val="Arial"/>
        <family val="0"/>
        <charset val="1"/>
      </rPr>
      <t xml:space="preserve">?</t>
    </r>
  </si>
  <si>
    <t xml:space="preserve">전통시장</t>
  </si>
  <si>
    <r>
      <rPr>
        <sz val="10"/>
        <rFont val="Noto Sans CJK SC"/>
        <family val="2"/>
      </rPr>
      <t xml:space="preserve">감기약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소화제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해열제 등 처방전이 없어도 약국에서 바로 구입할 수 있는 것은 무엇입니까</t>
    </r>
    <r>
      <rPr>
        <sz val="10"/>
        <rFont val="Arial"/>
        <family val="0"/>
        <charset val="1"/>
      </rPr>
      <t xml:space="preserve">?</t>
    </r>
  </si>
  <si>
    <t xml:space="preserve">일반의약품</t>
  </si>
  <si>
    <r>
      <rPr>
        <sz val="10"/>
        <rFont val="Noto Sans CJK SC"/>
        <family val="2"/>
      </rPr>
      <t xml:space="preserve">전염성 질환을 예방하기 위해 백신을 투여하여 면역성이 인공적으로 생기도록 하는 것은 무엇입니까</t>
    </r>
    <r>
      <rPr>
        <sz val="10"/>
        <rFont val="Arial"/>
        <family val="0"/>
        <charset val="1"/>
      </rPr>
      <t xml:space="preserve">?</t>
    </r>
  </si>
  <si>
    <t xml:space="preserve">예방접종</t>
  </si>
  <si>
    <r>
      <rPr>
        <sz val="10"/>
        <rFont val="Noto Sans CJK SC"/>
        <family val="2"/>
      </rPr>
      <t xml:space="preserve">일반쓰레기를 버리는 방법에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</si>
  <si>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음식물 쓰레기와 재활용품 등을 제외한 일반 쓰레기는 쓰레기 전용 봉투에 담아서 버려야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</si>
  <si>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소변을 만들고 운반하고 배설하는 기능을 담당하는 요로계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남성 생식기관을 진료하는 과는 무엇입니까</t>
    </r>
    <r>
      <rPr>
        <sz val="10"/>
        <rFont val="Arial"/>
        <family val="0"/>
        <charset val="1"/>
      </rPr>
      <t xml:space="preserve">?</t>
    </r>
  </si>
  <si>
    <t xml:space="preserve">비뇨기과</t>
  </si>
  <si>
    <r>
      <rPr>
        <sz val="10"/>
        <rFont val="Noto Sans CJK SC"/>
        <family val="2"/>
      </rPr>
      <t xml:space="preserve">방송국에서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일정한 시간 안에 음악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드라마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뉴스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강연 등의 음성을 전파로 방송하는 것은 무엇입니까</t>
    </r>
    <r>
      <rPr>
        <sz val="10"/>
        <rFont val="Arial"/>
        <family val="0"/>
        <charset val="1"/>
      </rPr>
      <t xml:space="preserve">?</t>
    </r>
  </si>
  <si>
    <t xml:space="preserve">라디오</t>
  </si>
  <si>
    <r>
      <rPr>
        <sz val="10"/>
        <rFont val="Noto Sans CJK SC"/>
        <family val="2"/>
      </rPr>
      <t xml:space="preserve">보증금을 맡기고 남의 집에 임차한 뒤 계약기간이 끝나면 보증금을 돌려받는 주택임대차 유형은 무엇입니까</t>
    </r>
    <r>
      <rPr>
        <sz val="10"/>
        <rFont val="Arial"/>
        <family val="0"/>
        <charset val="1"/>
      </rPr>
      <t xml:space="preserve">?</t>
    </r>
  </si>
  <si>
    <t xml:space="preserve">전세</t>
  </si>
  <si>
    <r>
      <rPr>
        <sz val="10"/>
        <rFont val="Noto Sans CJK SC"/>
        <family val="2"/>
      </rPr>
      <t xml:space="preserve">근무를 마친 후 종종 회사 직원들끼리 퇴근 이후에 식사를하면서 스트레스를 푸는 문화를 무엇이라고 합니까</t>
    </r>
    <r>
      <rPr>
        <sz val="10"/>
        <rFont val="Arial"/>
        <family val="0"/>
        <charset val="1"/>
      </rPr>
      <t xml:space="preserve">?</t>
    </r>
  </si>
  <si>
    <t xml:space="preserve">회식</t>
  </si>
  <si>
    <r>
      <rPr>
        <sz val="10"/>
        <rFont val="Noto Sans CJK SC"/>
        <family val="2"/>
      </rPr>
      <t xml:space="preserve">일반쓰레기를 버릴 때 어떤 봉투를 사용합니까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</si>
  <si>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종량제 봉투를 사용합니다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</si>
  <si>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유학’을 종교적인 관점에서 이르는 말로 삼강오륜을 덕목으로 하며 사서삼경을 경전으로 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</si>
  <si>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대형 쓰레기를 버리는 방법에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</si>
  <si>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못쓰게 된 가구나 전자제품처럼 부피가 큰 쓰레기는 행정복지센터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지정판매소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슈퍼마켓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스티커를 사다 붙여 집 앞에 내놓으면 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</si>
  <si>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사는 사회에서 기초생활 질서를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</si>
  <si>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신호등 빨간불 건너지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대중교통 기다릴 때 줄을 서서 기다린다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자동차를 이용할 때는 반드시 안전벨트를 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애완견을 데리고 산책할 때는 반드시 목줄을 하고 배설물을 잘 치워야 한다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쓰레기를 함부로 버리지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음주운전을 하지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화장실 등 공공시설을 이용할 때 차례를 지키며 깨끗이 사용한다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지나친 소음으로 이웃에게 피해를 주지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</si>
  <si>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음식물 쓰레기를 버리는 방법에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</si>
  <si>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물기를 빼서 음식물 쓰레기 전용 봉투에 담아서 버리거나 거주 지역에 따라 음식물 쓰레기 통에 넣어 버립니다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</si>
  <si>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 국민이 여권을 만들려면 어디로 가야합니까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</si>
  <si>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구청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도청</t>
    </r>
  </si>
  <si>
    <r>
      <rPr>
        <sz val="10"/>
        <rFont val="Noto Sans CJK SC"/>
        <family val="2"/>
      </rPr>
      <t xml:space="preserve">필요한 물건을 구입 후 지불 방법에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</si>
  <si>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신용카드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체크카드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상품권 등을 이용해서 지불할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</si>
  <si>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버스에 앉아서 타고 가다가 임산부를 만나면 어떻게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</si>
  <si>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자리를 양보해야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</si>
  <si>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법원 이외에 권리를 보호 받을 수 있는 기관에 대해 말해봅시다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</si>
  <si>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국가인권위원회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국가 공권력과 사회적 차별행위에 의한 인권침해 구제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국민권익위원회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국민고충처리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부패방지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행정심판 기능을 수행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국민에게 신속하고 원활한 권익보호 및 권리 구제 서비스 제공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한국소비자원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소비자의 권익을 증진하고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소비생활의 향상 도모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대한법률구조공단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법률지식이 부족하면서도 경제적으로 어려워 법적 보호를 제대로 강구하지 못하는 국민에게 법률적 지원을 해주기 위해 설립된 기관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기타 주민자치센터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시민 단체 등</t>
    </r>
  </si>
  <si>
    <r>
      <rPr>
        <sz val="10"/>
        <rFont val="Arial"/>
        <family val="0"/>
        <charset val="1"/>
      </rPr>
      <t xml:space="preserve">2002</t>
    </r>
    <r>
      <rPr>
        <sz val="10"/>
        <rFont val="Noto Sans CJK SC"/>
        <family val="2"/>
      </rPr>
      <t xml:space="preserve">년 한국과 일본이 공동 개최한 월드컵축구대회는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</si>
  <si>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한일월드컵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</si>
  <si>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</si>
  <si>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한국에서 생활하면서 필요한 물건을 구매할 수 있는 곳을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</si>
  <si>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재래시장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슈퍼마켓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대형마트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홈쇼핑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인터넷 쇼핑몰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</si>
  <si>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</si>
  <si>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지하철이나 버스를 탔을 때 옆사람의 발을 밟으면 어떻게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</si>
  <si>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죄송하다고 말하며 사과해야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</si>
  <si>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친구들과 함께 공원에 놀러 갔다가 생긴 쓰레기는 어떻게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</si>
  <si>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주변의 쓰레기통에 넣거나 쓰레기통이 없으면 집으로 가지고 가야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</si>
  <si>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자동차 사고가 났는데 누가 더 잘못했는지 모를 때 어떻게 하시겠습니까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</si>
  <si>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사고 현장을 잘 보존해둡니다 그리고 자신이 가입되어 있는 보험회사에 빨리 연락하여 협상하도록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협상이 잘 안되면 경찰에 연락할 수도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</si>
  <si>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</si>
  <si>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버스나 지하철에서 누군가가 두고 간 물건을 발견하다면 어떻게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</si>
  <si>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기사님에게 알리거나 유실물센터에 연락합니다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</si>
  <si>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</si>
  <si>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미만의 소아 및 청소년들의 질환 치료를 하는 진료과는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</si>
  <si>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</si>
  <si>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만약 밤에 갑자기 아프거나 다친 응급환자가 발생했을 때 어떻게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</si>
  <si>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에 도움을 요청합니다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</si>
  <si>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당신이 직접 운전을 하고 왔는데 술을 마셨다면 어떻게 집으로 돌아가겠습니까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</si>
  <si>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지하철을 이용하거나 대리운전을 이용합니다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</si>
  <si>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버스 지하철 등 대중교통 이용할 때 주의해야 할 기초생활 질서를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</si>
  <si>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대중교통을 이용할 때는 줄을 서서 기다리고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순서대로 탄다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대중교통을 탈 때는 먼저 사람들이 다 내리고 난 후에 탄다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임산부 등 노약자에게 자리를 양보한다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차 안에서 뛰거나 큰 소리로 이야기하지 않는다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휴대전화 통화 예절을 지킨다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대중교통에서 음식을 먹지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</si>
  <si>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일정한 기간의 간격을 두고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일마다 정기적으로 열리는 시장을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</si>
  <si>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일장</t>
    </r>
  </si>
  <si>
    <r>
      <rPr>
        <sz val="10"/>
        <rFont val="Noto Sans CJK SC"/>
        <family val="2"/>
      </rPr>
      <t xml:space="preserve">신생아기로부터 청소년기 환자의 내과적 질환을 대상으로 하는 진료과는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</si>
  <si>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버스나 지하철을 타서 자리에 앉아 있을 때 임산부나 노약자 등이 차에 타면 어떻게 해야합니까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</si>
  <si>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</si>
  <si>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한국에 와서 비자 기간이 끝났는데 귀국하지 않고 서류 없이 일 한 사람들을 무엇이라고 합니까</t>
    </r>
    <r>
      <rPr>
        <sz val="10"/>
        <rFont val="Arial"/>
        <family val="0"/>
        <charset val="1"/>
      </rPr>
      <t xml:space="preserve">?</t>
    </r>
  </si>
  <si>
    <t xml:space="preserve">불법체류 노동자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</si>
  <si>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</si>
  <si>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도시의 경관을 정비하고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환경을 보전하기 위해서 설정된 녹지대로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그린벨트라고도 하는 것은 무엇입니까</t>
    </r>
    <r>
      <rPr>
        <sz val="10"/>
        <rFont val="Arial"/>
        <family val="0"/>
        <charset val="1"/>
      </rPr>
      <t xml:space="preserve">?</t>
    </r>
  </si>
  <si>
    <t xml:space="preserve">개발제한구역</t>
  </si>
  <si>
    <r>
      <rPr>
        <sz val="10"/>
        <rFont val="Noto Sans CJK SC"/>
        <family val="2"/>
      </rPr>
      <t xml:space="preserve">버스 좌석에 앉아 있는데 머리에 무거운 짐을 이고 버스에 타고 있는 할머니를 보았다면 어떻게 하겠습니까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</si>
  <si>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</si>
  <si>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새집에 들어가거나 이사를 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이웃과 친지를 불러 집을 구경시키고 음식을 대접하는 일을 무엇이라고 합니까</t>
    </r>
    <r>
      <rPr>
        <sz val="10"/>
        <rFont val="Arial"/>
        <family val="0"/>
        <charset val="1"/>
      </rPr>
      <t xml:space="preserve">?</t>
    </r>
  </si>
  <si>
    <t xml:space="preserve">집들이</t>
  </si>
  <si>
    <r>
      <rPr>
        <sz val="10"/>
        <rFont val="Noto Sans CJK SC"/>
        <family val="2"/>
      </rPr>
      <t xml:space="preserve">전화를 통하여 신용카드 번호 등의 개인 정보를 알아낸 뒤 이를 범죄에 이용하는 전화금융사기 수법은 무엇입니까</t>
    </r>
    <r>
      <rPr>
        <sz val="10"/>
        <rFont val="Arial"/>
        <family val="0"/>
        <charset val="1"/>
      </rPr>
      <t xml:space="preserve">?</t>
    </r>
  </si>
  <si>
    <t xml:space="preserve">보이스피싱</t>
  </si>
  <si>
    <r>
      <rPr>
        <sz val="10"/>
        <rFont val="Noto Sans CJK SC"/>
        <family val="2"/>
      </rPr>
      <t xml:space="preserve">집주인에게 일정한 기간 금액의 보증금을 맡기고 계약기간동안 집을 빌려서 생활하는 거주 형태를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</si>
  <si>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사회에서 발생한 사건에 대한 사실이나 해설을 널리 신속하게 전달하기 위한 정기 간물로 기사를 실은 종이는 무엇입니까</t>
    </r>
    <r>
      <rPr>
        <sz val="10"/>
        <rFont val="Arial"/>
        <family val="0"/>
        <charset val="1"/>
      </rPr>
      <t xml:space="preserve">?</t>
    </r>
  </si>
  <si>
    <t xml:space="preserve">신문</t>
  </si>
  <si>
    <r>
      <rPr>
        <sz val="10"/>
        <rFont val="Noto Sans CJK SC"/>
        <family val="2"/>
      </rPr>
      <t xml:space="preserve">재질마다 폐기물을 분류하고 그것을 수집하는 것을 말하는 것으로 쓰레기를 종류별로 모아 버리는 것을 무엇이라고 합니까</t>
    </r>
    <r>
      <rPr>
        <sz val="10"/>
        <rFont val="Arial"/>
        <family val="0"/>
        <charset val="1"/>
      </rPr>
      <t xml:space="preserve">?</t>
    </r>
  </si>
  <si>
    <t xml:space="preserve">분리수거</t>
  </si>
  <si>
    <r>
      <rPr>
        <sz val="10"/>
        <rFont val="Noto Sans CJK SC"/>
        <family val="2"/>
      </rPr>
      <t xml:space="preserve">사물의 광학적인 상을 전파에 실어 보내어 수신 장치에 재현하는 전기 통신 방식 또는 그 영상을 받는 수상기는 무엇입니까</t>
    </r>
    <r>
      <rPr>
        <sz val="10"/>
        <rFont val="Arial"/>
        <family val="0"/>
        <charset val="1"/>
      </rPr>
      <t xml:space="preserve">?</t>
    </r>
  </si>
  <si>
    <t xml:space="preserve">TV</t>
  </si>
  <si>
    <r>
      <rPr>
        <sz val="10"/>
        <rFont val="Noto Sans CJK SC"/>
        <family val="2"/>
      </rPr>
      <t xml:space="preserve">층간소음 현장진단 및 아파트 단지별 맞춤형 교육 서비스를 제공하여 당사자 간의 이해와 갈등 완화를 유도하는 기관은 무엇입니까</t>
    </r>
    <r>
      <rPr>
        <sz val="10"/>
        <rFont val="Arial"/>
        <family val="0"/>
        <charset val="1"/>
      </rPr>
      <t xml:space="preserve">?</t>
    </r>
  </si>
  <si>
    <t xml:space="preserve">층간소음이웃사이센터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</si>
  <si>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</si>
  <si>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내장기관에 생긴 병을 약으로 치료하는 진료과로 복합적 감기 증상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구토 증상이 있을 때는 병원 어느 과에 가야 합니까</t>
    </r>
    <r>
      <rPr>
        <sz val="10"/>
        <rFont val="Arial"/>
        <family val="0"/>
        <charset val="1"/>
      </rPr>
      <t xml:space="preserve">?</t>
    </r>
  </si>
  <si>
    <t xml:space="preserve">내과</t>
  </si>
  <si>
    <r>
      <rPr>
        <sz val="10"/>
        <rFont val="Noto Sans CJK SC"/>
        <family val="2"/>
      </rPr>
      <t xml:space="preserve">금융 기관이나 유명 전자 상거래 업체를 사칭하여 불법적으로 개인의 금융 정보를 빼내 범죄에 사용하는 범법 행위를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</si>
  <si>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연령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질병의 종류에 관계없이 가족을 대상으로 지속적인 예방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검진 및 치료 등 포괄적인 의료 제공을 하는 진료과는 무엇입니까</t>
    </r>
    <r>
      <rPr>
        <sz val="10"/>
        <rFont val="Arial"/>
        <family val="0"/>
        <charset val="1"/>
      </rPr>
      <t xml:space="preserve">?</t>
    </r>
  </si>
  <si>
    <t xml:space="preserve">가정의학과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</si>
  <si>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</si>
  <si>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교통사고의 위험으로부터 장애인을 보호하기 위하여 필요하다고 인정하는 때에는 도로 가운데 일정 구간을 지정하여 차마의 통행을 제한하거나 금지하는 등 필요한 조치를 무엇이라고 합니까</t>
    </r>
    <r>
      <rPr>
        <sz val="10"/>
        <rFont val="Arial"/>
        <family val="0"/>
        <charset val="1"/>
      </rPr>
      <t xml:space="preserve">?</t>
    </r>
  </si>
  <si>
    <t xml:space="preserve">장애인보호구역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</si>
  <si>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</si>
  <si>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가족들과 식사하러 식당에 갔는데 아이들이 식당 안에 뛰어다니며 큰 소리로 떠듭니다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이럴 때 어떻게 하시겠습니까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</si>
  <si>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식당은 공공장소이므로 뛰지 말고 조용히 하라고 가르치겠습니다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</si>
  <si>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</si>
  <si>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일까지 대한민국의 강원특별자치도 평창군에서 열렸던 동계올림픽 대회는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</si>
  <si>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2018 </t>
    </r>
    <r>
      <rPr>
        <sz val="10"/>
        <rFont val="Noto Sans CJK SC"/>
        <family val="2"/>
      </rPr>
      <t xml:space="preserve">평창동계올림픽</t>
    </r>
  </si>
  <si>
    <r>
      <rPr>
        <sz val="10"/>
        <rFont val="Noto Sans CJK SC"/>
        <family val="2"/>
      </rPr>
      <t xml:space="preserve">대한민국 국민은 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 등 환경을 깨끗하게 지켜야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환경을 깨끗하게 지켜야 하는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</si>
  <si>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환경오염을 막아 꺠끗한 자연을 다음 세대에게 물려주어야 하기 때문입니다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</si>
  <si>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</si>
  <si>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어떤 사람이 길을 가다가 우연히 봉투를 주웠습니다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봉투를 열어 봤더니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만원이 있어서 아무도 모르게 빨리 집에 가지고 갔습니다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사람은 다음 날부터 본인의 생활을 위해서 돈을 조금씩 사용했습니다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사람의 행동을 어떻게 생각합니까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그리고 이 행동을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</si>
  <si>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잘못된 행동입니다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행동은 점유 이탈물 횡령죄라고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</si>
  <si>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(158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</si>
  <si>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교통</t>
  </si>
  <si>
    <r>
      <rPr>
        <sz val="10"/>
        <rFont val="Noto Sans CJK SC"/>
        <family val="2"/>
      </rPr>
      <t xml:space="preserve">서울과 인천을 잇는 우리나라 최초의 철도는 무엇입니까</t>
    </r>
    <r>
      <rPr>
        <sz val="10"/>
        <rFont val="Arial"/>
        <family val="0"/>
        <charset val="1"/>
      </rPr>
      <t xml:space="preserve">?</t>
    </r>
  </si>
  <si>
    <t xml:space="preserve">경인선</t>
  </si>
  <si>
    <t xml:space="preserve">오가는 길</t>
  </si>
  <si>
    <r>
      <rPr>
        <sz val="10"/>
        <rFont val="Noto Sans CJK SC"/>
        <family val="2"/>
      </rPr>
      <t xml:space="preserve">우리나라에서 운행중인 고속철로로 가장빠른 기차는 무엇입니까</t>
    </r>
    <r>
      <rPr>
        <sz val="10"/>
        <rFont val="Arial"/>
        <family val="0"/>
        <charset val="1"/>
      </rPr>
      <t xml:space="preserve">?</t>
    </r>
  </si>
  <si>
    <t xml:space="preserve">KTX</t>
  </si>
  <si>
    <r>
      <rPr>
        <sz val="10"/>
        <rFont val="Noto Sans CJK SC"/>
        <family val="2"/>
      </rPr>
      <t xml:space="preserve">서울과 부산을 잇는 복선 철도로 가장 긴 철도는 무엇입니까</t>
    </r>
    <r>
      <rPr>
        <sz val="10"/>
        <rFont val="Arial"/>
        <family val="0"/>
        <charset val="1"/>
      </rPr>
      <t xml:space="preserve">?</t>
    </r>
  </si>
  <si>
    <t xml:space="preserve">경부선</t>
  </si>
  <si>
    <r>
      <rPr>
        <sz val="10"/>
        <rFont val="Noto Sans CJK SC"/>
        <family val="2"/>
      </rPr>
      <t xml:space="preserve">서울과 인천을 잇는 우리나라의 최초의 고속도로는 무엇입니까</t>
    </r>
    <r>
      <rPr>
        <sz val="10"/>
        <rFont val="Arial"/>
        <family val="0"/>
        <charset val="1"/>
      </rPr>
      <t xml:space="preserve">?</t>
    </r>
  </si>
  <si>
    <t xml:space="preserve">경인고속도로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</si>
  <si>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</si>
  <si>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이용 요금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</si>
  <si>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 등 이용할 때 이용 요금은 현금이나 교통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카드로 지불됨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</si>
  <si>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</si>
  <si>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많은 차량의 고속 주행이 가능하게 만들어진 도로는 무엇입니까</t>
    </r>
    <r>
      <rPr>
        <sz val="10"/>
        <rFont val="Arial"/>
        <family val="0"/>
        <charset val="1"/>
      </rPr>
      <t xml:space="preserve">?</t>
    </r>
  </si>
  <si>
    <t xml:space="preserve">고속도로</t>
  </si>
  <si>
    <r>
      <rPr>
        <sz val="10"/>
        <rFont val="Noto Sans CJK SC"/>
        <family val="2"/>
      </rPr>
      <t xml:space="preserve">범죄를 저지른 사람에게 처벌로 내게 하는 돈을 무엇이라고 합니까</t>
    </r>
    <r>
      <rPr>
        <sz val="10"/>
        <rFont val="Arial"/>
        <family val="0"/>
        <charset val="1"/>
      </rPr>
      <t xml:space="preserve">?</t>
    </r>
  </si>
  <si>
    <t xml:space="preserve">벌금</t>
  </si>
  <si>
    <r>
      <rPr>
        <sz val="10"/>
        <rFont val="Noto Sans CJK SC"/>
        <family val="2"/>
      </rPr>
      <t xml:space="preserve">도로 교통법의 규칙을 어긴 사람에게 과하는 벌금을 무엇이라고 합니까</t>
    </r>
    <r>
      <rPr>
        <sz val="10"/>
        <rFont val="Arial"/>
        <family val="0"/>
        <charset val="1"/>
      </rPr>
      <t xml:space="preserve">?</t>
    </r>
  </si>
  <si>
    <t xml:space="preserve">범칙금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</si>
  <si>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지하철의 운임을 전자적으로 지불할 때 사용하는 카드는 무엇입니까</t>
    </r>
    <r>
      <rPr>
        <sz val="10"/>
        <rFont val="Arial"/>
        <family val="0"/>
        <charset val="1"/>
      </rPr>
      <t xml:space="preserve">?</t>
    </r>
  </si>
  <si>
    <t xml:space="preserve">교통카드</t>
  </si>
  <si>
    <t xml:space="preserve">대중교통 수단</t>
  </si>
  <si>
    <r>
      <rPr>
        <sz val="10"/>
        <rFont val="Noto Sans CJK SC"/>
        <family val="2"/>
      </rPr>
      <t xml:space="preserve">시내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가까운 거리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구간 이동 수단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시내버스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자전거 등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먼거리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구간 이동 수단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고속버스나 시외버스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비행기 등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</si>
  <si>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</si>
  <si>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대중교통 수단의 운임을 지불할 때 사용되는 일종의 전자화폐인 이것은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</si>
  <si>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재산형 중 하나로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일정한 금액의 지급 의무를 국가에 부과하는 형벌은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</si>
  <si>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범죄처벌법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도로교통법규 등을 범하거나 위반했을 때 부과하는 벌금을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</si>
  <si>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자동차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비행기 등에서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사고 시 충격으로부터 보호하기 위하여 사람을 좌석에 고정하는 띠는 무엇입니까</t>
    </r>
    <r>
      <rPr>
        <sz val="10"/>
        <rFont val="Arial"/>
        <family val="0"/>
        <charset val="1"/>
      </rPr>
      <t xml:space="preserve">?</t>
    </r>
  </si>
  <si>
    <t xml:space="preserve">안전벨트</t>
  </si>
  <si>
    <t xml:space="preserve">환승 할인 제도</t>
  </si>
  <si>
    <r>
      <rPr>
        <sz val="10"/>
        <rFont val="Noto Sans CJK SC"/>
        <family val="2"/>
      </rPr>
      <t xml:space="preserve">다른 교통 수단으로 갈아탈 때 요금을 할인해주는 제도 이동 중에 교통 수단을 몇 번 변경하더라도 전체 이용 거리에 따라 요금을 내도록하여 대중교통을 이용하는 사람들의 교통비 부담을 덜어줍니다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</si>
  <si>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</si>
  <si>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횡단보도와 같이 도로를 건널 수 있는 곳이 아닌 다른 곳에서 도로를 횡단하는 행위를 무엇이라고 합니까</t>
    </r>
    <r>
      <rPr>
        <sz val="10"/>
        <rFont val="Arial"/>
        <family val="0"/>
        <charset val="1"/>
      </rPr>
      <t xml:space="preserve">?</t>
    </r>
  </si>
  <si>
    <t xml:space="preserve">무단횡단</t>
  </si>
  <si>
    <r>
      <rPr>
        <sz val="10"/>
        <rFont val="Noto Sans CJK SC"/>
        <family val="2"/>
      </rPr>
      <t xml:space="preserve">도로에서 신호를 무시하고 횡단보도를 건너가나 횡단보도가 아닌 곳에서 길을 건너는 행위를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</si>
  <si>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대중교통 수단을 이용할 때 요금을 지불하는 방법을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</si>
  <si>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 등 이용할 때 이용 요금은 헌금이나 교통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카드로 지불합니다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</si>
  <si>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</si>
  <si>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교통카드를 이용하여 대중교통을 갈아탈 수 있게 한 제도는 무엇입니까</t>
    </r>
    <r>
      <rPr>
        <sz val="10"/>
        <rFont val="Arial"/>
        <family val="0"/>
        <charset val="1"/>
      </rPr>
      <t xml:space="preserve">?</t>
    </r>
  </si>
  <si>
    <t xml:space="preserve">환승할인 제도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</si>
  <si>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</si>
  <si>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대중교통 수단 중 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먼 거리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구간 이동 수단은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</si>
  <si>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고속버스나 시외버스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비행기 등</t>
    </r>
  </si>
  <si>
    <r>
      <rPr>
        <sz val="10"/>
        <rFont val="Noto Sans CJK SC"/>
        <family val="2"/>
      </rPr>
      <t xml:space="preserve">대중교통 수단 중 시내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가까운 거리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구간 이동 수단은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</si>
  <si>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시내버스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지하철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택시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자전거 등</t>
    </r>
  </si>
  <si>
    <r>
      <rPr>
        <sz val="10"/>
        <rFont val="Noto Sans CJK SC"/>
        <family val="2"/>
      </rPr>
      <t xml:space="preserve">도로에 버스만 다닐 수 있는 차로를 따로 만들어 대중교통을 원활히 하고자 하는 제도는 무엇입니까</t>
    </r>
    <r>
      <rPr>
        <sz val="10"/>
        <rFont val="Arial"/>
        <family val="0"/>
        <charset val="1"/>
      </rPr>
      <t xml:space="preserve">?</t>
    </r>
  </si>
  <si>
    <t xml:space="preserve">버스전용차로제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</si>
  <si>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</si>
  <si>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장애인 차량 또는 장애인이 운전하는 차량만 주차할 수 있도록 별도로 지정해 놓은 구역을 무엇이라고 합니까</t>
    </r>
    <r>
      <rPr>
        <sz val="10"/>
        <rFont val="Arial"/>
        <family val="0"/>
        <charset val="1"/>
      </rPr>
      <t xml:space="preserve">?</t>
    </r>
  </si>
  <si>
    <t xml:space="preserve">장애인전용주차구역</t>
  </si>
  <si>
    <r>
      <rPr>
        <sz val="10"/>
        <rFont val="Noto Sans CJK SC"/>
        <family val="2"/>
      </rPr>
      <t xml:space="preserve">대도시에서 교통의 혼잡을 완화하고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빠른 속도로 운행하기 위하여 땅속에 터널을 파고 부설한 철도는 무엇입니까</t>
    </r>
    <r>
      <rPr>
        <sz val="10"/>
        <rFont val="Arial"/>
        <family val="0"/>
        <charset val="1"/>
      </rPr>
      <t xml:space="preserve">?</t>
    </r>
  </si>
  <si>
    <t xml:space="preserve">지하철</t>
  </si>
  <si>
    <r>
      <rPr>
        <sz val="10"/>
        <rFont val="Noto Sans CJK SC"/>
        <family val="2"/>
      </rPr>
      <t xml:space="preserve">일반 대중이 이용할 수 있는 교통 서비스를 제공하는 모든 교통시설 및 수단을 포괄적으로 지칭하는 것은 무엇입니까</t>
    </r>
    <r>
      <rPr>
        <sz val="10"/>
        <rFont val="Arial"/>
        <family val="0"/>
        <charset val="1"/>
      </rPr>
      <t xml:space="preserve">?</t>
    </r>
  </si>
  <si>
    <t xml:space="preserve">대중교통</t>
  </si>
  <si>
    <r>
      <rPr>
        <sz val="10"/>
        <rFont val="Noto Sans CJK SC"/>
        <family val="2"/>
      </rPr>
      <t xml:space="preserve">도로교통법 경범죄처벌법 위반 등 일상생활에서 흔히 일어나는 경미한 범죄행위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경범죄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대해 부과하는 벌금은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</si>
  <si>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유치원과 초등학교 주변에 설정한 특별보호구역으로 반경 </t>
    </r>
    <r>
      <rPr>
        <sz val="10"/>
        <rFont val="Arial"/>
        <family val="0"/>
        <charset val="1"/>
      </rPr>
      <t xml:space="preserve">300m </t>
    </r>
    <r>
      <rPr>
        <sz val="10"/>
        <rFont val="Noto Sans CJK SC"/>
        <family val="2"/>
      </rPr>
      <t xml:space="preserve">이내의 자동차의 주행 속도를 시속 </t>
    </r>
    <r>
      <rPr>
        <sz val="10"/>
        <rFont val="Arial"/>
        <family val="0"/>
        <charset val="1"/>
      </rPr>
      <t xml:space="preserve">30km </t>
    </r>
    <r>
      <rPr>
        <sz val="10"/>
        <rFont val="Noto Sans CJK SC"/>
        <family val="2"/>
      </rPr>
      <t xml:space="preserve">이내로 제한한 구역을 무엇이라고 합니까</t>
    </r>
    <r>
      <rPr>
        <sz val="10"/>
        <rFont val="Arial"/>
        <family val="0"/>
        <charset val="1"/>
      </rPr>
      <t xml:space="preserve">?</t>
    </r>
  </si>
  <si>
    <t xml:space="preserve">어린이보호구역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</si>
  <si>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</si>
  <si>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사람이나 화물의 수송에 있어서의 안전을 확보하기 위하여 철도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항공기 등의 운행을 규율하는 법규 명령을 총칭하는 것은 무엇입니까</t>
    </r>
    <r>
      <rPr>
        <sz val="10"/>
        <rFont val="Arial"/>
        <family val="0"/>
        <charset val="1"/>
      </rPr>
      <t xml:space="preserve">?</t>
    </r>
  </si>
  <si>
    <t xml:space="preserve">교통법규</t>
  </si>
  <si>
    <t xml:space="preserve">금융</t>
  </si>
  <si>
    <r>
      <rPr>
        <sz val="10"/>
        <rFont val="Noto Sans CJK SC"/>
        <family val="2"/>
      </rPr>
      <t xml:space="preserve">저축을 하거나 돈을 다른 사람에게 보내려면 어디로 가야 합니까</t>
    </r>
    <r>
      <rPr>
        <sz val="10"/>
        <rFont val="Arial"/>
        <family val="0"/>
        <charset val="1"/>
      </rPr>
      <t xml:space="preserve">?</t>
    </r>
  </si>
  <si>
    <t xml:space="preserve">은행</t>
  </si>
  <si>
    <t xml:space="preserve">돈을 맡기고 빌리다</t>
  </si>
  <si>
    <r>
      <rPr>
        <sz val="10"/>
        <rFont val="Noto Sans CJK SC"/>
        <family val="2"/>
      </rPr>
      <t xml:space="preserve">아무 때나 자유롭게 예금하고 찾을 수 있는 예금은 무엇이라고 합니까</t>
    </r>
    <r>
      <rPr>
        <sz val="10"/>
        <rFont val="Arial"/>
        <family val="0"/>
        <charset val="1"/>
      </rPr>
      <t xml:space="preserve">?</t>
    </r>
  </si>
  <si>
    <t xml:space="preserve">보통예금</t>
  </si>
  <si>
    <r>
      <rPr>
        <sz val="10"/>
        <rFont val="Noto Sans CJK SC"/>
        <family val="2"/>
      </rPr>
      <t xml:space="preserve">인터넷을 이용해 은행의 서비스를 이용할 수 있는 시스템은 무엇입니까</t>
    </r>
    <r>
      <rPr>
        <sz val="10"/>
        <rFont val="Arial"/>
        <family val="0"/>
        <charset val="1"/>
      </rPr>
      <t xml:space="preserve">?</t>
    </r>
  </si>
  <si>
    <t xml:space="preserve">인터넷뱅팅</t>
  </si>
  <si>
    <r>
      <rPr>
        <sz val="10"/>
        <rFont val="Noto Sans CJK SC"/>
        <family val="2"/>
      </rPr>
      <t xml:space="preserve">예금과 인출 인출을 자유로이 할 수 있는 통장식 은행예금은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</si>
  <si>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원금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원해 맡긴 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이자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원금에 붙는 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합쳐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인당 최고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억원까지 보호받는 제도는 무엇입니까</t>
    </r>
    <r>
      <rPr>
        <sz val="10"/>
        <rFont val="Arial"/>
        <family val="0"/>
        <charset val="1"/>
      </rPr>
      <t xml:space="preserve">?</t>
    </r>
  </si>
  <si>
    <t xml:space="preserve">예금자 보호제도</t>
  </si>
  <si>
    <r>
      <rPr>
        <sz val="10"/>
        <rFont val="Noto Sans CJK SC"/>
        <family val="2"/>
      </rPr>
      <t xml:space="preserve">은행예금 중 만기가 정해져 있지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입출금이 자유로운 예금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</si>
  <si>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사람들의 돈을 맡아 관리하고 필요한 사람에게 돈을 빌려주는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</si>
  <si>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금융 기관에서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예금이나 대출을 한 사람에게 출납의 상태를 기록하여 주는 장부는 무엇입니까</t>
    </r>
    <r>
      <rPr>
        <sz val="10"/>
        <rFont val="Arial"/>
        <family val="0"/>
        <charset val="1"/>
      </rPr>
      <t xml:space="preserve">?</t>
    </r>
  </si>
  <si>
    <t xml:space="preserve">통장</t>
  </si>
  <si>
    <r>
      <rPr>
        <sz val="10"/>
        <rFont val="Noto Sans CJK SC"/>
        <family val="2"/>
      </rPr>
      <t xml:space="preserve">금융기관과 거래를 할 때 가명이 남의 이름이 아니라 자신의 이름으로만 쓰도록 한 제도는 무엇입니까</t>
    </r>
    <r>
      <rPr>
        <sz val="10"/>
        <rFont val="Arial"/>
        <family val="0"/>
        <charset val="1"/>
      </rPr>
      <t xml:space="preserve">?</t>
    </r>
  </si>
  <si>
    <t xml:space="preserve">금융실명제</t>
  </si>
  <si>
    <r>
      <rPr>
        <sz val="10"/>
        <rFont val="Noto Sans CJK SC"/>
        <family val="2"/>
      </rPr>
      <t xml:space="preserve">일정 금액을 일정 기간 동안 금융 기관에 맡기고 정한 기간 안에 찾지 아니하겠다는 약속으로 하는 예금은 무엇입니까</t>
    </r>
    <r>
      <rPr>
        <sz val="10"/>
        <rFont val="Arial"/>
        <family val="0"/>
        <charset val="1"/>
      </rPr>
      <t xml:space="preserve">?</t>
    </r>
  </si>
  <si>
    <t xml:space="preserve">정기예금</t>
  </si>
  <si>
    <r>
      <rPr>
        <sz val="10"/>
        <rFont val="Noto Sans CJK SC"/>
        <family val="2"/>
      </rPr>
      <t xml:space="preserve">은행에 가지 않고 전화를 이용해서 다른 곳으로 돈을 보내거나 통장에 남은 돈의 액수를 알아볼 수 있는 그것은 무엇입니까</t>
    </r>
    <r>
      <rPr>
        <sz val="10"/>
        <rFont val="Arial"/>
        <family val="0"/>
        <charset val="1"/>
      </rPr>
      <t xml:space="preserve">?</t>
    </r>
  </si>
  <si>
    <t xml:space="preserve">텔레뱅킹</t>
  </si>
  <si>
    <r>
      <rPr>
        <sz val="10"/>
        <rFont val="Noto Sans CJK SC"/>
        <family val="2"/>
      </rPr>
      <t xml:space="preserve">은행에 가지 않고 인터넷을 이용해서 다른 곳으로 돈을 보내거나 통장에 남은 돈의 액수를 알아볼 수 있는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</si>
  <si>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정해진 기간 동안 일정액을 매월 적립하고 만기일에 약정금액을 지급받는 것을 내용으로 하는 전형적인 적립식 예금은 무엇입니까</t>
    </r>
    <r>
      <rPr>
        <sz val="10"/>
        <rFont val="Arial"/>
        <family val="0"/>
        <charset val="1"/>
      </rPr>
      <t xml:space="preserve">?</t>
    </r>
  </si>
  <si>
    <t xml:space="preserve">정기적금</t>
  </si>
  <si>
    <r>
      <rPr>
        <sz val="10"/>
        <rFont val="Noto Sans CJK SC"/>
        <family val="2"/>
      </rPr>
      <t xml:space="preserve">금융기관의 부도 등으로 고객의 금융자산을 반환하지 못할 경우 예금보호기금을 통해 일정금액 한도 내에서 돌려주는 제도는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</si>
  <si>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</si>
  <si>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다양한 금융 서비스를 제공하는 시설로 저축자의 예금을 맡는 한편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어음할인 및 증권의 인수 등을 업무로 하는 대표적인 금융기관은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</si>
  <si>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직접 은행을 찾지 않고 전화로 금융거래가 가능한 제도로 고객의 돈을 은행 내 또는 계좌로 즉각 이체시킬 수 있으며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금융거래를 할 수 있는 시스템은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</si>
  <si>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</si>
  <si>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경제</t>
  </si>
  <si>
    <r>
      <rPr>
        <sz val="10"/>
        <rFont val="Noto Sans CJK SC"/>
        <family val="2"/>
      </rPr>
      <t xml:space="preserve">서로 바꾼다는 뜻을 무엇이라고 합니까</t>
    </r>
    <r>
      <rPr>
        <sz val="10"/>
        <rFont val="Arial"/>
        <family val="0"/>
        <charset val="1"/>
      </rPr>
      <t xml:space="preserve">?</t>
    </r>
  </si>
  <si>
    <t xml:space="preserve">교환</t>
  </si>
  <si>
    <t xml:space="preserve">벌고 쓰는 일</t>
  </si>
  <si>
    <r>
      <rPr>
        <sz val="10"/>
        <rFont val="Noto Sans CJK SC"/>
        <family val="2"/>
      </rPr>
      <t xml:space="preserve">이미 지불한 돈을 되돌려 받는 것을 무엇이라고 합니까</t>
    </r>
    <r>
      <rPr>
        <sz val="10"/>
        <rFont val="Arial"/>
        <family val="0"/>
        <charset val="1"/>
      </rPr>
      <t xml:space="preserve">?</t>
    </r>
  </si>
  <si>
    <t xml:space="preserve">환불</t>
  </si>
  <si>
    <r>
      <rPr>
        <sz val="10"/>
        <rFont val="Noto Sans CJK SC"/>
        <family val="2"/>
      </rPr>
      <t xml:space="preserve">물건을 구입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물건 교환이나 환불 시 제시해야 되는 것은 무엇입니까</t>
    </r>
    <r>
      <rPr>
        <sz val="10"/>
        <rFont val="Arial"/>
        <family val="0"/>
        <charset val="1"/>
      </rPr>
      <t xml:space="preserve">?</t>
    </r>
  </si>
  <si>
    <t xml:space="preserve">영수증</t>
  </si>
  <si>
    <r>
      <rPr>
        <sz val="10"/>
        <rFont val="Noto Sans CJK SC"/>
        <family val="2"/>
      </rPr>
      <t xml:space="preserve">소비자가 자신들의 권리나 이익을 보호하기 위하여 만든 조직은 무엇입니까</t>
    </r>
    <r>
      <rPr>
        <sz val="10"/>
        <rFont val="Arial"/>
        <family val="0"/>
        <charset val="1"/>
      </rPr>
      <t xml:space="preserve">?</t>
    </r>
  </si>
  <si>
    <t xml:space="preserve">소비자단체</t>
  </si>
  <si>
    <r>
      <rPr>
        <sz val="10"/>
        <rFont val="Noto Sans CJK SC"/>
        <family val="2"/>
      </rPr>
      <t xml:space="preserve">농수산물 및 그 가공품의 원산지표시를 의무화한 제도는 무엇입니까</t>
    </r>
    <r>
      <rPr>
        <sz val="10"/>
        <rFont val="Arial"/>
        <family val="0"/>
        <charset val="1"/>
      </rPr>
      <t xml:space="preserve">?</t>
    </r>
  </si>
  <si>
    <t xml:space="preserve">원산지 표시제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</si>
  <si>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</si>
  <si>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음식물을 구입할 때 가격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품질과 함께 잘 확인해야 되는 것은 무엇입니까</t>
    </r>
    <r>
      <rPr>
        <sz val="10"/>
        <rFont val="Arial"/>
        <family val="0"/>
        <charset val="1"/>
      </rPr>
      <t xml:space="preserve">?</t>
    </r>
  </si>
  <si>
    <t xml:space="preserve">유통기한</t>
  </si>
  <si>
    <r>
      <rPr>
        <sz val="10"/>
        <rFont val="Noto Sans CJK SC"/>
        <family val="2"/>
      </rPr>
      <t xml:space="preserve">회사 측이 제품의 결함을 발견하여 보상해 주는 소비자보호제도는 무엇입니까</t>
    </r>
    <r>
      <rPr>
        <sz val="10"/>
        <rFont val="Arial"/>
        <family val="0"/>
        <charset val="1"/>
      </rPr>
      <t xml:space="preserve">?</t>
    </r>
  </si>
  <si>
    <t xml:space="preserve">리콜제도</t>
  </si>
  <si>
    <r>
      <rPr>
        <sz val="10"/>
        <rFont val="Noto Sans CJK SC"/>
        <family val="2"/>
      </rPr>
      <t xml:space="preserve">마트에 제품을 사러 갈 때 제품의 포장지 위에 날짜를 인쇄해 두는 것은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</si>
  <si>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물건을 샀지만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마음에 들지 않아 물건을 돌려주고 다른 것으로 바꾸는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</si>
  <si>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불량인 물건을 샀는데 가게에서 환불해주지 않으면 어떻게 해야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</si>
  <si>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한국소비자원에서 도움을 받습니다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</si>
  <si>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</si>
  <si>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마트에서 물건을 산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마음에 들지 않아 물건을 돌려주고 돈을 다시 받는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</si>
  <si>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제조사별로 생산 후 특정기간 이내에 사용하도록 만든 제도는 무엇입니까</t>
    </r>
    <r>
      <rPr>
        <sz val="10"/>
        <rFont val="Arial"/>
        <family val="0"/>
        <charset val="1"/>
      </rPr>
      <t xml:space="preserve">?</t>
    </r>
  </si>
  <si>
    <t xml:space="preserve">유통기한 표시제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</si>
  <si>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</si>
  <si>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소비자의 권익을 증진하고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소비생활의 향상을 도모하기 위한 공공기관은 무엇입니까</t>
    </r>
    <r>
      <rPr>
        <sz val="10"/>
        <rFont val="Arial"/>
        <family val="0"/>
        <charset val="1"/>
      </rPr>
      <t xml:space="preserve">?</t>
    </r>
  </si>
  <si>
    <t xml:space="preserve">한국소비자원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</si>
  <si>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</si>
  <si>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제조물의 결함으로 인하여 발생한 손해로부터 피해자를 보호하기 위해 제정된 법률은 무엇입니까</t>
    </r>
    <r>
      <rPr>
        <sz val="10"/>
        <rFont val="Arial"/>
        <family val="0"/>
        <charset val="1"/>
      </rPr>
      <t xml:space="preserve">?</t>
    </r>
  </si>
  <si>
    <t xml:space="preserve">제조물 책임법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</si>
  <si>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</si>
  <si>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사유 재산 제도를 토대로하여 자유경쟁의 원칙에 의해 시장 가격이 형성되는 경제 체제는 무엇입니까</t>
    </r>
    <r>
      <rPr>
        <sz val="10"/>
        <rFont val="Arial"/>
        <family val="0"/>
        <charset val="1"/>
      </rPr>
      <t xml:space="preserve">?</t>
    </r>
  </si>
  <si>
    <t xml:space="preserve">시장 경제 체제</t>
  </si>
  <si>
    <r>
      <rPr>
        <sz val="10"/>
        <rFont val="Noto Sans CJK SC"/>
        <family val="2"/>
      </rPr>
      <t xml:space="preserve">상품이 시중에 유통될 수 있는 기한으로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음식이 만들어지고 나서 유통될 수 있는 기간을 뜻하는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</si>
  <si>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돈이나 물품을 받은 사람이 준 사람에게 이를 받았음을 인증하며 영수 내용을 기재하여 제시해주는 증서는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</si>
  <si>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물건을 살 때 현금 없이도 이것으로 구입할 수 있으며 은행이나 카드 회사로부터 발급 받아 사용하는 이것은 무엇입니까</t>
    </r>
    <r>
      <rPr>
        <sz val="10"/>
        <rFont val="Arial"/>
        <family val="0"/>
        <charset val="1"/>
      </rPr>
      <t xml:space="preserve">?</t>
    </r>
  </si>
  <si>
    <t xml:space="preserve">신용카드</t>
  </si>
  <si>
    <r>
      <rPr>
        <sz val="10"/>
        <rFont val="Noto Sans CJK SC"/>
        <family val="2"/>
      </rPr>
      <t xml:space="preserve">독점을 목적으로 물건을 대량으로 사들였다가 그 물건이 부족하여 가격이 오를 때까지 팔지 않고 보관해 두는 것을 무엇이라고 합니까</t>
    </r>
    <r>
      <rPr>
        <sz val="10"/>
        <rFont val="Arial"/>
        <family val="0"/>
        <charset val="1"/>
      </rPr>
      <t xml:space="preserve">?</t>
    </r>
  </si>
  <si>
    <t xml:space="preserve">매점매석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</si>
  <si>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</si>
  <si>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상품이나 서비스의 대금 지급을 은행이 보증하여 일정 기간 뒤에 지급할 수 있도록 하는 신용 판매 제도에 이용되는 카드는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</si>
  <si>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상품이 생산된 지역을 의미하여 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식물의 경우 성장한 지역을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제조품의 경우 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가공 과정이 이루어진 지역을 말하는 것은 무엇입니까</t>
    </r>
    <r>
      <rPr>
        <sz val="10"/>
        <rFont val="Arial"/>
        <family val="0"/>
        <charset val="1"/>
      </rPr>
      <t xml:space="preserve">?</t>
    </r>
  </si>
  <si>
    <t xml:space="preserve">원산지</t>
  </si>
  <si>
    <t xml:space="preserve">세금</t>
  </si>
  <si>
    <r>
      <rPr>
        <sz val="10"/>
        <rFont val="Noto Sans CJK SC"/>
        <family val="2"/>
      </rPr>
      <t xml:space="preserve">국민이 일을 해서 세금을 내는 곳은 어디입니까</t>
    </r>
    <r>
      <rPr>
        <sz val="10"/>
        <rFont val="Arial"/>
        <family val="0"/>
        <charset val="1"/>
      </rPr>
      <t xml:space="preserve">?</t>
    </r>
  </si>
  <si>
    <t xml:space="preserve">세무서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</si>
  <si>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</si>
  <si>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함께 내는 돈</t>
  </si>
  <si>
    <r>
      <rPr>
        <sz val="10"/>
        <rFont val="Noto Sans CJK SC"/>
        <family val="2"/>
      </rPr>
      <t xml:space="preserve">월급과 같이 개인에게 소득이 생기면 국가에 내는 세금은 무엇입니까</t>
    </r>
    <r>
      <rPr>
        <sz val="10"/>
        <rFont val="Arial"/>
        <family val="0"/>
        <charset val="1"/>
      </rPr>
      <t xml:space="preserve">?</t>
    </r>
  </si>
  <si>
    <t xml:space="preserve">소득세</t>
  </si>
  <si>
    <r>
      <rPr>
        <sz val="10"/>
        <rFont val="Noto Sans CJK SC"/>
        <family val="2"/>
      </rPr>
      <t xml:space="preserve">내국세의 부과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감면 및 징수에 관한 사무를 맡아보는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</si>
  <si>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국세청</t>
  </si>
  <si>
    <r>
      <rPr>
        <sz val="10"/>
        <rFont val="Noto Sans CJK SC"/>
        <family val="2"/>
      </rPr>
      <t xml:space="preserve">개인이 한 해 동안 벌어들인 돈에 대하여 액수별 기준에 따라 매기는 세금은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</si>
  <si>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 또는 지방 공공 단체가 필요한 경비로 사용하기 위하여 국민이나 주민으로부터 거두어들이는 돈을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</si>
  <si>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국세청 산하의 지방국세청에 소속되어 관할 구역의 내국세의 부과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감면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징수에 관한 사무를 담당하는 세무행정기관은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</si>
  <si>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국민을 일을 하여 소득이 생기면 국가에 세금을 내야합니다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국민에게서 거둔 세금은 어디에 사용합니까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</si>
  <si>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국가는 국민에게서 거둔 세금으로 국민들의 편안한 생활을 위하여 사회 공공시설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 질서 유지 등의 많은 일에 사용합니다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</si>
  <si>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</si>
  <si>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복지</t>
  </si>
  <si>
    <r>
      <rPr>
        <sz val="10"/>
        <rFont val="Noto Sans CJK SC"/>
        <family val="2"/>
      </rPr>
      <t xml:space="preserve">일자리를 구해주고 해결해주는 기관이 무엇입니까</t>
    </r>
    <r>
      <rPr>
        <sz val="10"/>
        <rFont val="Arial"/>
        <family val="0"/>
        <charset val="1"/>
      </rPr>
      <t xml:space="preserve">?</t>
    </r>
  </si>
  <si>
    <t xml:space="preserve">고용복지플러스센터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</si>
  <si>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</si>
  <si>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어려울 때 받는 도움</t>
  </si>
  <si>
    <r>
      <rPr>
        <sz val="10"/>
        <rFont val="Noto Sans CJK SC"/>
        <family val="2"/>
      </rPr>
      <t xml:space="preserve">아내와 남편이 모두 직장 생활을 하는 것은 무엇입니까</t>
    </r>
    <r>
      <rPr>
        <sz val="10"/>
        <rFont val="Arial"/>
        <family val="0"/>
        <charset val="1"/>
      </rPr>
      <t xml:space="preserve">?</t>
    </r>
  </si>
  <si>
    <t xml:space="preserve">맞벌이</t>
  </si>
  <si>
    <r>
      <rPr>
        <sz val="10"/>
        <rFont val="Noto Sans CJK SC"/>
        <family val="2"/>
      </rPr>
      <t xml:space="preserve">능력을 가진 자가 일자리를 갖지 않거나 갖지 못한 상태를 무엇이라고 합니까</t>
    </r>
    <r>
      <rPr>
        <sz val="10"/>
        <rFont val="Arial"/>
        <family val="0"/>
        <charset val="1"/>
      </rPr>
      <t xml:space="preserve">?</t>
    </r>
  </si>
  <si>
    <t xml:space="preserve">실업</t>
  </si>
  <si>
    <r>
      <rPr>
        <sz val="10"/>
        <rFont val="Noto Sans CJK SC"/>
        <family val="2"/>
      </rPr>
      <t xml:space="preserve">경제 활동에 참여할 연령의 사람 가운데 직업이 없는 사람을 무엇이라고 합니까</t>
    </r>
    <r>
      <rPr>
        <sz val="10"/>
        <rFont val="Arial"/>
        <family val="0"/>
        <charset val="1"/>
      </rPr>
      <t xml:space="preserve">?</t>
    </r>
  </si>
  <si>
    <t xml:space="preserve">실업자</t>
  </si>
  <si>
    <r>
      <rPr>
        <sz val="10"/>
        <rFont val="Noto Sans CJK SC"/>
        <family val="2"/>
      </rPr>
      <t xml:space="preserve">우리나라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보험은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</si>
  <si>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국민건강보험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고용보험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국민연금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산재보험</t>
    </r>
  </si>
  <si>
    <r>
      <rPr>
        <sz val="10"/>
        <rFont val="Noto Sans CJK SC"/>
        <family val="2"/>
      </rPr>
      <t xml:space="preserve">일정 수준 이하의 저소득 계층의 생활을 보장하고 자립을 지원하고 제도는 무엇입니까</t>
    </r>
    <r>
      <rPr>
        <sz val="10"/>
        <rFont val="Arial"/>
        <family val="0"/>
        <charset val="1"/>
      </rPr>
      <t xml:space="preserve">?</t>
    </r>
  </si>
  <si>
    <t xml:space="preserve">공공부조</t>
  </si>
  <si>
    <r>
      <rPr>
        <sz val="10"/>
        <rFont val="Noto Sans CJK SC"/>
        <family val="2"/>
      </rPr>
      <t xml:space="preserve">미래에 예측할 수 없는 재난이나 사고의 위험에 대비하고자 생긴 제도를 무엇이라고 합니까</t>
    </r>
    <r>
      <rPr>
        <sz val="10"/>
        <rFont val="Arial"/>
        <family val="0"/>
        <charset val="1"/>
      </rPr>
      <t xml:space="preserve">?</t>
    </r>
  </si>
  <si>
    <t xml:space="preserve">보험</t>
  </si>
  <si>
    <r>
      <rPr>
        <sz val="10"/>
        <rFont val="Noto Sans CJK SC"/>
        <family val="2"/>
      </rPr>
      <t xml:space="preserve">근로자가 실직한 경우에 생활 안정을 위하여 일정기간 동안 급여를 지급하는 사회보험은 무엇입니까</t>
    </r>
    <r>
      <rPr>
        <sz val="10"/>
        <rFont val="Arial"/>
        <family val="0"/>
        <charset val="1"/>
      </rPr>
      <t xml:space="preserve">?</t>
    </r>
  </si>
  <si>
    <t xml:space="preserve">고용보험</t>
  </si>
  <si>
    <r>
      <rPr>
        <sz val="10"/>
        <rFont val="Noto Sans CJK SC"/>
        <family val="2"/>
      </rPr>
      <t xml:space="preserve">생계 수단을 얻기 위하여 부부가 모두 경제활동에 종사하는 상태를 가리키는 사회용어는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</si>
  <si>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한국의 사회보험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가지를 말해보세요</t>
    </r>
  </si>
  <si>
    <r>
      <rPr>
        <sz val="10"/>
        <rFont val="Noto Sans CJK SC"/>
        <family val="2"/>
      </rPr>
      <t xml:space="preserve">국민건강보험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국민연금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고용보험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산재보험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</si>
  <si>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</si>
  <si>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산업 재해 근로자를 보호하기 위하여 </t>
    </r>
    <r>
      <rPr>
        <sz val="10"/>
        <rFont val="Arial"/>
        <family val="0"/>
        <charset val="1"/>
      </rPr>
      <t xml:space="preserve">1964</t>
    </r>
    <r>
      <rPr>
        <sz val="10"/>
        <rFont val="Noto Sans CJK SC"/>
        <family val="2"/>
      </rPr>
      <t xml:space="preserve">년에 도입된 우리나라 최초의 사회보험제도는 무엇입니까</t>
    </r>
    <r>
      <rPr>
        <sz val="10"/>
        <rFont val="Arial"/>
        <family val="0"/>
        <charset val="1"/>
      </rPr>
      <t xml:space="preserve">?</t>
    </r>
  </si>
  <si>
    <t xml:space="preserve">산재보험</t>
  </si>
  <si>
    <r>
      <rPr>
        <sz val="10"/>
        <rFont val="Noto Sans CJK SC"/>
        <family val="2"/>
      </rPr>
      <t xml:space="preserve">온갖 종류의 도서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출판물 등의 자료를 모아 두고 일반이 볼 수 있도록 한 시설은 무엇입니까</t>
    </r>
    <r>
      <rPr>
        <sz val="10"/>
        <rFont val="Arial"/>
        <family val="0"/>
        <charset val="1"/>
      </rPr>
      <t xml:space="preserve">?</t>
    </r>
  </si>
  <si>
    <t xml:space="preserve">도서관</t>
  </si>
  <si>
    <r>
      <rPr>
        <sz val="10"/>
        <rFont val="Noto Sans CJK SC"/>
        <family val="2"/>
      </rPr>
      <t xml:space="preserve">보험에 가입해야 하는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</si>
  <si>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불의의 재난에 대비하기 위해서입니다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</si>
  <si>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구직자의 취업지원 서비스 및 근로자의 실업급여 등의 업무를 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</si>
  <si>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</si>
  <si>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노인 중 소득이 일정 기준 이하인 사람에게 지급하는 연금제도는 무엇입니까</t>
    </r>
    <r>
      <rPr>
        <sz val="10"/>
        <rFont val="Arial"/>
        <family val="0"/>
        <charset val="1"/>
      </rPr>
      <t xml:space="preserve">?</t>
    </r>
  </si>
  <si>
    <t xml:space="preserve">기초 연금 제도</t>
  </si>
  <si>
    <r>
      <rPr>
        <sz val="10"/>
        <rFont val="Noto Sans CJK SC"/>
        <family val="2"/>
      </rPr>
      <t xml:space="preserve">생활이 어려운 사람에게 필요한 급여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제공하는 제도는 무엇입니까</t>
    </r>
    <r>
      <rPr>
        <sz val="10"/>
        <rFont val="Arial"/>
        <family val="0"/>
        <charset val="1"/>
      </rPr>
      <t xml:space="preserve">?</t>
    </r>
  </si>
  <si>
    <t xml:space="preserve">국민기초생활보장제도</t>
  </si>
  <si>
    <r>
      <rPr>
        <sz val="10"/>
        <rFont val="Noto Sans CJK SC"/>
        <family val="2"/>
      </rPr>
      <t xml:space="preserve">적절한 방법으로 보관했을 경우 안전하게 섭취할 수 있는 최대 기한을 나타내는 표시 제도는 무엇입니까</t>
    </r>
    <r>
      <rPr>
        <sz val="10"/>
        <rFont val="Arial"/>
        <family val="0"/>
        <charset val="1"/>
      </rPr>
      <t xml:space="preserve">?</t>
    </r>
  </si>
  <si>
    <t xml:space="preserve">소비기한 표시제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</si>
  <si>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</si>
  <si>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노동할 의욕과 능력을 가진 자가 자기의 능력에 상응한 노동의 기회를 얻지 못하고 있는 상태를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</si>
  <si>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고용보험 제도의 일환으로 실업자의 생활 안정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원활한 구직활동을 위해 일정기간동안 지급되는 급여를 무엇이라고 합니까</t>
    </r>
    <r>
      <rPr>
        <sz val="10"/>
        <rFont val="Arial"/>
        <family val="0"/>
        <charset val="1"/>
      </rPr>
      <t xml:space="preserve">?</t>
    </r>
  </si>
  <si>
    <t xml:space="preserve">실업급여</t>
  </si>
  <si>
    <r>
      <rPr>
        <sz val="10"/>
        <rFont val="Noto Sans CJK SC"/>
        <family val="2"/>
      </rPr>
      <t xml:space="preserve">소비자가 식품을 먹어도 건강상에 이상이 없을 것으로 판단되는 소비자가 실제로 식품을 섭취할 수 있는 기한은 무엇입니까</t>
    </r>
    <r>
      <rPr>
        <sz val="10"/>
        <rFont val="Arial"/>
        <family val="0"/>
        <charset val="1"/>
      </rPr>
      <t xml:space="preserve">?</t>
    </r>
  </si>
  <si>
    <t xml:space="preserve">소비기한</t>
  </si>
  <si>
    <r>
      <rPr>
        <sz val="10"/>
        <rFont val="Noto Sans CJK SC"/>
        <family val="2"/>
      </rPr>
      <t xml:space="preserve">일정 수준 이하의 저소득 계층의 생활을 보장하고 자립을 지원하는 제도 중 국가가 의료 비용을 지급하는 제도는 무엇입니까</t>
    </r>
    <r>
      <rPr>
        <sz val="10"/>
        <rFont val="Arial"/>
        <family val="0"/>
        <charset val="1"/>
      </rPr>
      <t xml:space="preserve">?</t>
    </r>
  </si>
  <si>
    <t xml:space="preserve">의료 급여 제도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</si>
  <si>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</si>
  <si>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질병이나 부상으로 인해 발생한 고액의 진료비로 가계에 과도한 부담이 되는 것을 방지하기 위한 사회보장제도를 무엇이라고 합니까</t>
    </r>
    <r>
      <rPr>
        <sz val="10"/>
        <rFont val="Arial"/>
        <family val="0"/>
        <charset val="1"/>
      </rPr>
      <t xml:space="preserve">?</t>
    </r>
  </si>
  <si>
    <t xml:space="preserve">국민건강보험</t>
  </si>
  <si>
    <r>
      <rPr>
        <sz val="10"/>
        <rFont val="Noto Sans CJK SC"/>
        <family val="2"/>
      </rPr>
      <t xml:space="preserve">국가가 임금의 최저 수준을 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사용자에게 이 수준 이상의 임금을 지급하도록 강제함으로써 저임금 근로자를 보호하는 제도는 무엇입니까</t>
    </r>
    <r>
      <rPr>
        <sz val="10"/>
        <rFont val="Arial"/>
        <family val="0"/>
        <charset val="1"/>
      </rPr>
      <t xml:space="preserve">?</t>
    </r>
  </si>
  <si>
    <t xml:space="preserve">최저임금제도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</si>
  <si>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</si>
  <si>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생활이 어려운 사람에게 필요한 급여를 국가 또는 지방자치단체가 지급해 이들의 최저 생활을 보장하고 자활을 돕고자 실시하는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</si>
  <si>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모든 차량이 반드시 가입해야 하는 보험으로 남의 신체나 재산에 손해를 입혀 법률 상의 책임을 질 경우 배상금과 소송비용 등의 손해를 보상하는 보험은 무엇입니까</t>
    </r>
    <r>
      <rPr>
        <sz val="10"/>
        <rFont val="Arial"/>
        <family val="0"/>
        <charset val="1"/>
      </rPr>
      <t xml:space="preserve">?</t>
    </r>
  </si>
  <si>
    <t xml:space="preserve">책임보험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</si>
  <si>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</si>
  <si>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지역사회 내에서 일정한 시설과 전문 인력을 갖추고 지역사회의 인전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자원을 동원하여 지역사회복지를 중심으로 한 종합적인 사회복지사업을 수행하는 사회복지시설은 무엇입니까</t>
    </r>
    <r>
      <rPr>
        <sz val="10"/>
        <rFont val="Arial"/>
        <family val="0"/>
        <charset val="1"/>
      </rPr>
      <t xml:space="preserve">?</t>
    </r>
  </si>
  <si>
    <t xml:space="preserve">사회복지회관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</si>
  <si>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</si>
  <si>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나이가 들거나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갑작스런 사고나 질병으로 사망 또는 장애를 입어 소득 활동이 중단된 경우 본인이나 유족에게 연금을 지급함으로써 기본 생활을 유지할 수 있도록 하는 연금제도는 무엇입니까</t>
    </r>
    <r>
      <rPr>
        <sz val="10"/>
        <rFont val="Arial"/>
        <family val="0"/>
        <charset val="1"/>
      </rPr>
      <t xml:space="preserve">?</t>
    </r>
  </si>
  <si>
    <t xml:space="preserve">국민연금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</si>
  <si>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</si>
  <si>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출산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빈곤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사망 등의 어려움에 처한 사회 성원들의 생활을 국가 및 지방 자치 단체가 일련의 사회 정책을 통하여 해결해 주는 제도를 무엇이라고 합니까</t>
    </r>
    <r>
      <rPr>
        <sz val="10"/>
        <rFont val="Arial"/>
        <family val="0"/>
        <charset val="1"/>
      </rPr>
      <t xml:space="preserve">?</t>
    </r>
  </si>
  <si>
    <t xml:space="preserve">사회보장제도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</si>
  <si>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</si>
  <si>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중소기업근로자 복지진흥법에 의한 복지 사업과 근로자의 증진을 목적으로 하는 사업을 실시하는 기관으로 근로자의 업무상 재해를 신속하고 공정하게 보상하고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이에 필요한 보험 시설을 설치하여 운영하는 곳은 무엇입니까</t>
    </r>
    <r>
      <rPr>
        <sz val="10"/>
        <rFont val="Arial"/>
        <family val="0"/>
        <charset val="1"/>
      </rPr>
      <t xml:space="preserve">?</t>
    </r>
  </si>
  <si>
    <t xml:space="preserve">근로복지공단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</si>
  <si>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(118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</si>
  <si>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복지제도</t>
  </si>
  <si>
    <r>
      <rPr>
        <sz val="10"/>
        <rFont val="Noto Sans CJK SC"/>
        <family val="2"/>
      </rPr>
      <t xml:space="preserve">국가가 의료 비용 지급을 하는 것은</t>
    </r>
    <r>
      <rPr>
        <sz val="10"/>
        <rFont val="Arial"/>
        <family val="0"/>
        <charset val="1"/>
      </rPr>
      <t xml:space="preserve">?</t>
    </r>
  </si>
  <si>
    <t xml:space="preserve">네 가지 보험</t>
  </si>
  <si>
    <r>
      <rPr>
        <sz val="10"/>
        <rFont val="Noto Sans CJK SC"/>
        <family val="2"/>
      </rPr>
      <t xml:space="preserve">아파서 병원에 갈 때 의료비의 일부를 지원 받을 수 있는 보험은</t>
    </r>
    <r>
      <rPr>
        <sz val="10"/>
        <rFont val="Arial"/>
        <family val="0"/>
        <charset val="1"/>
      </rPr>
      <t xml:space="preserve">?</t>
    </r>
  </si>
  <si>
    <t xml:space="preserve">건강 보험</t>
  </si>
  <si>
    <r>
      <rPr>
        <sz val="10"/>
        <rFont val="Noto Sans CJK SC"/>
        <family val="2"/>
      </rPr>
      <t xml:space="preserve">회사에서 회고 되었을 때 일정 기간 금전적 지원을 받을 수 있는 보험은</t>
    </r>
    <r>
      <rPr>
        <sz val="10"/>
        <rFont val="Arial"/>
        <family val="0"/>
        <charset val="1"/>
      </rPr>
      <t xml:space="preserve">?</t>
    </r>
  </si>
  <si>
    <t xml:space="preserve">고용 보험</t>
  </si>
  <si>
    <r>
      <rPr>
        <sz val="10"/>
        <rFont val="Noto Sans CJK SC"/>
        <family val="2"/>
      </rPr>
      <t xml:space="preserve">나이가 들어 더 이상 돈을 벌기 어려울 때 매달 일정 금액을 생활비로 지급 받는 보험은</t>
    </r>
    <r>
      <rPr>
        <sz val="10"/>
        <rFont val="Arial"/>
        <family val="0"/>
        <charset val="1"/>
      </rPr>
      <t xml:space="preserve">?</t>
    </r>
  </si>
  <si>
    <t xml:space="preserve">국민 연금</t>
  </si>
  <si>
    <r>
      <rPr>
        <sz val="10"/>
        <rFont val="Noto Sans CJK SC"/>
        <family val="2"/>
      </rPr>
      <t xml:space="preserve">건강 보험은 무엇입니까</t>
    </r>
    <r>
      <rPr>
        <sz val="10"/>
        <rFont val="Arial"/>
        <family val="0"/>
        <charset val="1"/>
      </rPr>
      <t xml:space="preserve">?</t>
    </r>
  </si>
  <si>
    <t xml:space="preserve">아파서 병원에 갈 때 의료비의 일부를 지원 받을 수 있다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</si>
  <si>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</si>
  <si>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고용 보험은 무엇입니까</t>
    </r>
    <r>
      <rPr>
        <sz val="10"/>
        <rFont val="Arial"/>
        <family val="0"/>
        <charset val="1"/>
      </rPr>
      <t xml:space="preserve">?</t>
    </r>
  </si>
  <si>
    <t xml:space="preserve">회사에서 해고 되었을 때 일정 기간 금전적 지원을 받을 수 있다</t>
  </si>
  <si>
    <r>
      <rPr>
        <sz val="10"/>
        <rFont val="Noto Sans CJK SC"/>
        <family val="2"/>
      </rPr>
      <t xml:space="preserve">국민 연금은 무엇입니까</t>
    </r>
    <r>
      <rPr>
        <sz val="10"/>
        <rFont val="Arial"/>
        <family val="0"/>
        <charset val="1"/>
      </rPr>
      <t xml:space="preserve">?</t>
    </r>
  </si>
  <si>
    <t xml:space="preserve">나이가 들어 더 이상 돈을 벌기 어려울 때 매달 일정 금액을 생활비로 지급 받음</t>
  </si>
  <si>
    <r>
      <rPr>
        <sz val="10"/>
        <rFont val="Noto Sans CJK SC"/>
        <family val="2"/>
      </rPr>
      <t xml:space="preserve">산업재해보상보험은 무엇입니까</t>
    </r>
    <r>
      <rPr>
        <sz val="10"/>
        <rFont val="Arial"/>
        <family val="0"/>
        <charset val="1"/>
      </rPr>
      <t xml:space="preserve">?</t>
    </r>
  </si>
  <si>
    <t xml:space="preserve">회사에서 일하다가 사고로 다쳤을때 병원비 등 피해에 대해 보상을 받을 수 있음</t>
  </si>
  <si>
    <r>
      <rPr>
        <sz val="10"/>
        <rFont val="Noto Sans CJK SC"/>
        <family val="2"/>
      </rPr>
      <t xml:space="preserve">법을 지켜야하는 이유를 말해봅시다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</si>
  <si>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법은 질서를 위해 존재합니다</t>
    </r>
    <r>
      <rPr>
        <sz val="10"/>
        <rFont val="Arial"/>
        <family val="0"/>
        <charset val="1"/>
      </rPr>
      <t xml:space="preserve">.
-  </t>
    </r>
    <r>
      <rPr>
        <sz val="10"/>
        <rFont val="Noto Sans CJK SC"/>
        <family val="2"/>
      </rPr>
      <t xml:space="preserve">법이 없으면 사회 혼란과 불안이 발생할 수 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법은 정의의 실현을 목적으로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열심히 노력한 사람에게는 보상을 주고 잘못을 저지르거나 피해를 준 사람에게는 벌을 준다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국민들이 법을 준수하면 자신의 권리와 타인의 권리를 지킬 수 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법은 국민들이 지켜야할 약속이다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법은 사회질서를 유지하는 역할을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</si>
  <si>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노인 중 소득이 일정 기준 이하인 사람에게 지급하는 연금은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</si>
  <si>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회사에서 일하다가 사고로 다쳤을때 병원비 등 피해에 대해 보상을 받는 보험은</t>
    </r>
    <r>
      <rPr>
        <sz val="10"/>
        <rFont val="Arial"/>
        <family val="0"/>
        <charset val="1"/>
      </rPr>
      <t xml:space="preserve">?</t>
    </r>
  </si>
  <si>
    <t xml:space="preserve">산업 재해 보상 보험</t>
  </si>
  <si>
    <r>
      <rPr>
        <sz val="10"/>
        <rFont val="Noto Sans CJK SC"/>
        <family val="2"/>
      </rPr>
      <t xml:space="preserve">생활이 어려운 사람에게 필요한 급여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제공하는 것은</t>
    </r>
    <r>
      <rPr>
        <sz val="10"/>
        <rFont val="Arial"/>
        <family val="0"/>
        <charset val="1"/>
      </rPr>
      <t xml:space="preserve">?</t>
    </r>
  </si>
  <si>
    <t xml:space="preserve">국민기초생활 보장제도</t>
  </si>
  <si>
    <t xml:space="preserve">재판과 법</t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</si>
  <si>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친족 간에 벌어진 다툼을 해결하는 재판은 무엇입니까</t>
    </r>
    <r>
      <rPr>
        <sz val="10"/>
        <rFont val="Arial"/>
        <family val="0"/>
        <charset val="1"/>
      </rPr>
      <t xml:space="preserve">?</t>
    </r>
  </si>
  <si>
    <t xml:space="preserve">가사 재판</t>
  </si>
  <si>
    <t xml:space="preserve">다툼이 생기면</t>
  </si>
  <si>
    <r>
      <rPr>
        <sz val="10"/>
        <rFont val="Noto Sans CJK SC"/>
        <family val="2"/>
      </rPr>
      <t xml:space="preserve">대한민국 국민이 되는 요건에 대하여 규정한 법률은 무엇입니까</t>
    </r>
    <r>
      <rPr>
        <sz val="10"/>
        <rFont val="Arial"/>
        <family val="0"/>
        <charset val="1"/>
      </rPr>
      <t xml:space="preserve">?</t>
    </r>
  </si>
  <si>
    <t xml:space="preserve">국적법</t>
  </si>
  <si>
    <r>
      <rPr>
        <sz val="10"/>
        <rFont val="Noto Sans CJK SC"/>
        <family val="2"/>
      </rPr>
      <t xml:space="preserve">법무부 소속으로 검사의 사무를 맡아보는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</si>
  <si>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검찰청</t>
  </si>
  <si>
    <r>
      <rPr>
        <sz val="10"/>
        <rFont val="Noto Sans CJK SC"/>
        <family val="2"/>
      </rPr>
      <t xml:space="preserve">사람이 사회 생활을 영위함에 있어서 지켜야할 일반사법은 무엇입니까</t>
    </r>
    <r>
      <rPr>
        <sz val="10"/>
        <rFont val="Arial"/>
        <family val="0"/>
        <charset val="1"/>
      </rPr>
      <t xml:space="preserve">?</t>
    </r>
  </si>
  <si>
    <t xml:space="preserve">민법</t>
  </si>
  <si>
    <r>
      <rPr>
        <sz val="10"/>
        <rFont val="Noto Sans CJK SC"/>
        <family val="2"/>
      </rPr>
      <t xml:space="preserve">헌법 재판소의 역할은 무엇인가요</t>
    </r>
    <r>
      <rPr>
        <sz val="10"/>
        <rFont val="Arial"/>
        <family val="0"/>
        <charset val="1"/>
      </rPr>
      <t xml:space="preserve">?</t>
    </r>
  </si>
  <si>
    <t xml:space="preserve">국가 공권력 작용이 헌법을 준수토록 하고 국민의 기본권을 보호해 주는 것</t>
  </si>
  <si>
    <r>
      <rPr>
        <sz val="10"/>
        <rFont val="Noto Sans CJK SC"/>
        <family val="2"/>
      </rPr>
      <t xml:space="preserve">강도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절도 등의 범죄자를 처벌하기 위한 재판은 무엇입니까</t>
    </r>
    <r>
      <rPr>
        <sz val="10"/>
        <rFont val="Arial"/>
        <family val="0"/>
        <charset val="1"/>
      </rPr>
      <t xml:space="preserve">?</t>
    </r>
  </si>
  <si>
    <t xml:space="preserve">형사 재판</t>
  </si>
  <si>
    <r>
      <rPr>
        <sz val="10"/>
        <rFont val="Noto Sans CJK SC"/>
        <family val="2"/>
      </rPr>
      <t xml:space="preserve">헌법에 관한 의미 해석을 둘러싼 다툼을 해결하기 위한 재판은 무엇입니까</t>
    </r>
    <r>
      <rPr>
        <sz val="10"/>
        <rFont val="Arial"/>
        <family val="0"/>
        <charset val="1"/>
      </rPr>
      <t xml:space="preserve">?</t>
    </r>
  </si>
  <si>
    <t xml:space="preserve">헌법 재판</t>
  </si>
  <si>
    <r>
      <rPr>
        <sz val="10"/>
        <rFont val="Noto Sans CJK SC"/>
        <family val="2"/>
      </rPr>
      <t xml:space="preserve">일반인의 사적 생활 관계인 재산관계와 가족관계를 규율하는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</si>
  <si>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범죄와 형벌의 종류와 정도 등을 정해 놓은 법률 체계를 무엇이라고 합니까</t>
    </r>
    <r>
      <rPr>
        <sz val="10"/>
        <rFont val="Arial"/>
        <family val="0"/>
        <charset val="1"/>
      </rPr>
      <t xml:space="preserve">?</t>
    </r>
  </si>
  <si>
    <t xml:space="preserve">형법</t>
  </si>
  <si>
    <r>
      <rPr>
        <sz val="10"/>
        <rFont val="Noto Sans CJK SC"/>
        <family val="2"/>
      </rPr>
      <t xml:space="preserve">법을 지켜야 하는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</si>
  <si>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법은 국민들이 지켜야할 약속으로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사회질서를 유지하는 역할을 하기 때문입니다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</si>
  <si>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 질서를 어지럽히는 범죄행위를 처벌하기 위한 재판을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</si>
  <si>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국민의 국적 취득과 상실 요건에 관하여 규정한 법률은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</si>
  <si>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개인 사이의 민법과 관련된 분쟁을 법원에서 해결하기 위한 재판은 무엇입니까</t>
    </r>
    <r>
      <rPr>
        <sz val="10"/>
        <rFont val="Arial"/>
        <family val="0"/>
        <charset val="1"/>
      </rPr>
      <t xml:space="preserve">?</t>
    </r>
  </si>
  <si>
    <t xml:space="preserve">민사 재판</t>
  </si>
  <si>
    <r>
      <rPr>
        <sz val="10"/>
        <rFont val="Noto Sans CJK SC"/>
        <family val="2"/>
      </rPr>
      <t xml:space="preserve">개인과 개인 사이에서 발생한 문제를 해결하기 위한 재판을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</si>
  <si>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해결하기 어려운 민원을 처리하고 부패 방지와 국민의 권리 보호 및 구제를 위한 기관은 무엇입니까</t>
    </r>
    <r>
      <rPr>
        <sz val="10"/>
        <rFont val="Arial"/>
        <family val="0"/>
        <charset val="1"/>
      </rPr>
      <t xml:space="preserve">?</t>
    </r>
  </si>
  <si>
    <t xml:space="preserve">국민권익위원회</t>
  </si>
  <si>
    <r>
      <rPr>
        <sz val="10"/>
        <rFont val="Noto Sans CJK SC"/>
        <family val="2"/>
      </rPr>
      <t xml:space="preserve">개인과 개인 사이의 권리와 의무에 대한 분쟁 해결을 하는 재판은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</si>
  <si>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의회에서 재정한 법률이 헌법에 위반하는지 심사하는 재판을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</si>
  <si>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 발생에 대한 죄의 유무 판단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형벌의 양 결정을 하는 재판은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</si>
  <si>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무엇이 범죄이고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그것에 어떠한 형벌을 과할 것인가를 규정한 법률은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</si>
  <si>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외국인등록증의 신청과 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체류지 변경 신고와 체류기간 연장 등을 할 수 있는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</si>
  <si>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출입국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외국인청</t>
    </r>
  </si>
  <si>
    <r>
      <rPr>
        <sz val="10"/>
        <rFont val="Noto Sans CJK SC"/>
        <family val="2"/>
      </rPr>
      <t xml:space="preserve">일정한 자격을 갖춘 외국인에게 주는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나라에 영주할 수 있는 권리는 무엇입니까</t>
    </r>
    <r>
      <rPr>
        <sz val="10"/>
        <rFont val="Arial"/>
        <family val="0"/>
        <charset val="1"/>
      </rPr>
      <t xml:space="preserve">?</t>
    </r>
  </si>
  <si>
    <t xml:space="preserve">영주권</t>
  </si>
  <si>
    <r>
      <rPr>
        <sz val="10"/>
        <rFont val="Noto Sans CJK SC"/>
        <family val="2"/>
      </rPr>
      <t xml:space="preserve">법률이나 명령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처분이 헌법에 위배되는지를 심판하는 재판을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</si>
  <si>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근로자의 인간다운 생활을 보장하기 위하여 근로조건의 최저기준을 정한 법은 무엇입니까</t>
    </r>
    <r>
      <rPr>
        <sz val="10"/>
        <rFont val="Arial"/>
        <family val="0"/>
        <charset val="1"/>
      </rPr>
      <t xml:space="preserve">?</t>
    </r>
  </si>
  <si>
    <t xml:space="preserve">근로기준법</t>
  </si>
  <si>
    <r>
      <rPr>
        <sz val="10"/>
        <rFont val="Noto Sans CJK SC"/>
        <family val="2"/>
      </rPr>
      <t xml:space="preserve">개인이 특정 국가의 국적을 취득 또는 상실하는 요건을 정한 법률을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</si>
  <si>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근로자가 회사의 지시 또는 관리에 따라 일을 하고 이에 대한 대가로 회사가 임금을 지급하기로한 계약서를 무엇이라고 합니까</t>
    </r>
    <r>
      <rPr>
        <sz val="10"/>
        <rFont val="Arial"/>
        <family val="0"/>
        <charset val="1"/>
      </rPr>
      <t xml:space="preserve">?</t>
    </r>
  </si>
  <si>
    <t xml:space="preserve">근로계약서</t>
  </si>
  <si>
    <r>
      <rPr>
        <sz val="10"/>
        <rFont val="Noto Sans CJK SC"/>
        <family val="2"/>
      </rPr>
      <t xml:space="preserve">가족이나 친족 간의 분쟁 사건이나 가정에 관한 일반적인 사건을 다루는 재판은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</si>
  <si>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법무부 소속으로 범죄의 수사 및 공소권의 행사에 관한 사무를 맡아보는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</si>
  <si>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국적에 관련한 법으로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대한민국의 국민이 되는 요건을 정한 법률을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</si>
  <si>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어떠한 행위가 범죄로 되며 그것에 어느 정도 벌을 과하게 되는지를 정한 법률을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</si>
  <si>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장애인의 완전한 사회 참여와 평등권 실현을 통하여 인간으로서의 존엄과 가치를 구현함을 목적으로 하는 법을 무엇이라고 합니까</t>
    </r>
    <r>
      <rPr>
        <sz val="10"/>
        <rFont val="Arial"/>
        <family val="0"/>
        <charset val="1"/>
      </rPr>
      <t xml:space="preserve">?</t>
    </r>
  </si>
  <si>
    <t xml:space="preserve">장애인차별금지법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</si>
  <si>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</si>
  <si>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혼인과 이혼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상속과 유언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물건에 대한 소유권 등 일반인들의 생활관계를 규율하는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</si>
  <si>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재판에 의해 분쟁을 법률적으로 해결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조정하기 위해 대립 당사자를 관여시켜 심판하는 절차는 무엇입니까</t>
    </r>
    <r>
      <rPr>
        <sz val="10"/>
        <rFont val="Arial"/>
        <family val="0"/>
        <charset val="1"/>
      </rPr>
      <t xml:space="preserve">?</t>
    </r>
  </si>
  <si>
    <t xml:space="preserve">소송</t>
  </si>
  <si>
    <r>
      <rPr>
        <sz val="10"/>
        <rFont val="Noto Sans CJK SC"/>
        <family val="2"/>
      </rPr>
      <t xml:space="preserve">개인 간의 분쟁이 잘 해결되지 않을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법을 통해 분쟁을 해결하고 보호하는 대표적인 방법은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</si>
  <si>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근로자의 기본적 생활을 보장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향상시키며 균형 있는 국민경제의 발전을 도모하기 위해 제정한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</si>
  <si>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고충의 처리와 이에 고간한 불합리한 행정 제도 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부패 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부패행위 규제에 관한 사무를 담당하는 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</si>
  <si>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일정한 요건을 갖춘 외국인에게 한국 국적이 없이도 체류 기간의 제한 없이 주거할 수 있도록 부여하는 권리를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</si>
  <si>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경제적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사회적으로  약자인 근로자들의 실질적 지위를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개선하기 위하여 근로조건의 최저 기준을 정한 법을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</si>
  <si>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</si>
  <si>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국민들의 고충 처리와 관련된 업무를 담당하면서 불합리한 행정제도를 개선하고 부정부패를 규제하는 법무를 담당하는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</si>
  <si>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범죄수사를 통한 형벌권 행사 및 법원의 판단에 의하여 구체화된 형벌권의 내용실현을 지휘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감독하는 일을 하는 것을 무엇이라고 합니까</t>
    </r>
    <r>
      <rPr>
        <sz val="10"/>
        <rFont val="Arial"/>
        <family val="0"/>
        <charset val="1"/>
      </rPr>
      <t xml:space="preserve">?</t>
    </r>
  </si>
  <si>
    <t xml:space="preserve">검찰</t>
  </si>
  <si>
    <r>
      <rPr>
        <sz val="10"/>
        <rFont val="Noto Sans CJK SC"/>
        <family val="2"/>
      </rPr>
      <t xml:space="preserve">법률 지식이 부족하면서도 경제적으로 어려워 법적 보호를 제대로 강구하지 못하는 국민에게 법률적 지원을 해주기 위해 설립된 기관은 무엇입니까</t>
    </r>
    <r>
      <rPr>
        <sz val="10"/>
        <rFont val="Arial"/>
        <family val="0"/>
        <charset val="1"/>
      </rPr>
      <t xml:space="preserve">?</t>
    </r>
  </si>
  <si>
    <t xml:space="preserve">대한법률구조공단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</si>
  <si>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</si>
  <si>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경찰과 마찬가지로 범죄를 수사하고 법을 진행하는 일을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재판 과정에 직접 참여하여 범죄자의 처벌을 요구하는 일을 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</si>
  <si>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개인 간의 분쟁이나 갈등이 발생해서 법률 전문가의 도움을 받고 싶지만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비용지출이 부담스러울 때는 도움을 받을 수 있는 공익적 기구는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</si>
  <si>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모든 사람의 인권 보호와 향상을 위한 업무를 수행하며 입법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부 어디에도 속하지 않는 독립적 지위를 가지고 있는 기관은 무엇입니까</t>
    </r>
    <r>
      <rPr>
        <sz val="10"/>
        <rFont val="Arial"/>
        <family val="0"/>
        <charset val="1"/>
      </rPr>
      <t xml:space="preserve">?</t>
    </r>
  </si>
  <si>
    <t xml:space="preserve">국가인권위원회</t>
  </si>
  <si>
    <r>
      <rPr>
        <sz val="10"/>
        <rFont val="Noto Sans CJK SC"/>
        <family val="2"/>
      </rPr>
      <t xml:space="preserve">대한민국에 입국하거나 대한민국에서 출국하는 모든 사람의 출입국 관리와 대한민국에 체류하고 있는 외국인의 등록에 관한 일을 규정한 법은 무엇입니까</t>
    </r>
    <r>
      <rPr>
        <sz val="10"/>
        <rFont val="Arial"/>
        <family val="0"/>
        <charset val="1"/>
      </rPr>
      <t xml:space="preserve">?</t>
    </r>
  </si>
  <si>
    <t xml:space="preserve">출입국관리법</t>
  </si>
  <si>
    <r>
      <rPr>
        <sz val="10"/>
        <rFont val="Noto Sans CJK SC"/>
        <family val="2"/>
      </rPr>
      <t xml:space="preserve">장애를 사유로 한 차별을 금지하고 장애인들의 권리를 구제하기 위하여 </t>
    </r>
    <r>
      <rPr>
        <sz val="10"/>
        <rFont val="Arial"/>
        <family val="0"/>
        <charset val="1"/>
      </rPr>
      <t xml:space="preserve">2007</t>
    </r>
    <r>
      <rPr>
        <sz val="10"/>
        <rFont val="Noto Sans CJK SC"/>
        <family val="2"/>
      </rPr>
      <t xml:space="preserve">년 장애인차별금지 및 권리구제 등에 관한 법률로 제정된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</si>
  <si>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모든 개인이 가지는 불가침의 기본적 인권을 보호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증진하여 인간으로서의 존엄과 가치를 구현하고 민주적 기본질서 확립을 위한 인권전담 독립 국가기관은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</si>
  <si>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</si>
  <si>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헌법에 따라 근로조건의 최저기준을 정함으로써 근로자의 근로의욕을 향상시키고 근로자의 기본적 생활을 보장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향상시키며 균형 있는 국민 경제의 발전을 위하여 제정한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</si>
  <si>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</si>
  <si>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장애인의 일자리와 관련해서 고용차별을 금지하거나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생활 영역에서 장애를 이유로 한 차별을 금지하고 차별받은 장애인의 권리를 구제하기 위해 </t>
    </r>
    <r>
      <rPr>
        <sz val="10"/>
        <rFont val="Arial"/>
        <family val="0"/>
        <charset val="1"/>
      </rPr>
      <t xml:space="preserve">2007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월에 제정된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</si>
  <si>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</si>
  <si>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제도</t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</si>
  <si>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세부터 취학 전까지의 아동을 보호와 교육을 담당하는 시설은 무엇입니까</t>
    </r>
    <r>
      <rPr>
        <sz val="10"/>
        <rFont val="Arial"/>
        <family val="0"/>
        <charset val="1"/>
      </rPr>
      <t xml:space="preserve">?</t>
    </r>
  </si>
  <si>
    <t xml:space="preserve">어린이집</t>
  </si>
  <si>
    <t xml:space="preserve">그 밖의 제도</t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</si>
  <si>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세부터 취학 전까지의 아동을 대상으로 교육을 담당하는 교육 기관은 무엇입니까</t>
    </r>
    <r>
      <rPr>
        <sz val="10"/>
        <rFont val="Arial"/>
        <family val="0"/>
        <charset val="1"/>
      </rPr>
      <t xml:space="preserve">?</t>
    </r>
  </si>
  <si>
    <t xml:space="preserve">유치원</t>
  </si>
  <si>
    <r>
      <rPr>
        <sz val="10"/>
        <rFont val="Noto Sans CJK SC"/>
        <family val="2"/>
      </rPr>
      <t xml:space="preserve">대학교를 졸업한 사람이 입학할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교육에 종사하는 최상층의 교육기관은 무엇입니까</t>
    </r>
    <r>
      <rPr>
        <sz val="10"/>
        <rFont val="Arial"/>
        <family val="0"/>
        <charset val="1"/>
      </rPr>
      <t xml:space="preserve">?</t>
    </r>
  </si>
  <si>
    <t xml:space="preserve">대학원</t>
  </si>
  <si>
    <r>
      <rPr>
        <sz val="10"/>
        <rFont val="Noto Sans CJK SC"/>
        <family val="2"/>
      </rPr>
      <t xml:space="preserve">우리나라의 의무교육 기간은 몇 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</si>
  <si>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초등학교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중학교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</si>
  <si>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우리나라에서 대학에서 진학하기 위해 치러야 하는 시험의 이름은 무엇입니까</t>
    </r>
    <r>
      <rPr>
        <sz val="10"/>
        <rFont val="Arial"/>
        <family val="0"/>
        <charset val="1"/>
      </rPr>
      <t xml:space="preserve">?</t>
    </r>
  </si>
  <si>
    <t xml:space="preserve">대학수학능력시험</t>
  </si>
  <si>
    <r>
      <rPr>
        <sz val="10"/>
        <rFont val="Noto Sans CJK SC"/>
        <family val="2"/>
      </rPr>
      <t xml:space="preserve">대학에서 공부할 수 있는 능력을 평가하기 위해 교육부에서 해마다 실시하는 시험은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</si>
  <si>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생활에 필요한 기초적인 초등교육을 실시하는 교육기관으로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년 동안 의무적으로 실시하는 교육기관은 무엇입니까</t>
    </r>
    <r>
      <rPr>
        <sz val="10"/>
        <rFont val="Arial"/>
        <family val="0"/>
        <charset val="1"/>
      </rPr>
      <t xml:space="preserve">?</t>
    </r>
  </si>
  <si>
    <t xml:space="preserve">초등학교</t>
  </si>
  <si>
    <r>
      <rPr>
        <sz val="10"/>
        <rFont val="Noto Sans CJK SC"/>
        <family val="2"/>
      </rPr>
      <t xml:space="preserve">초등학교를 졸업한 사람에 중등 보통 교육을 실시하기 위한 학교로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동안 의무 교육으로 실시하는 교육 기관은 무엇입니까</t>
    </r>
    <r>
      <rPr>
        <sz val="10"/>
        <rFont val="Arial"/>
        <family val="0"/>
        <charset val="1"/>
      </rPr>
      <t xml:space="preserve">?</t>
    </r>
  </si>
  <si>
    <t xml:space="preserve">중학교</t>
  </si>
  <si>
    <r>
      <rPr>
        <sz val="10"/>
        <rFont val="Noto Sans CJK SC"/>
        <family val="2"/>
      </rPr>
      <t xml:space="preserve">임산부의 부담을 줄여주고 건강한 태아의 분만과 산모의 건강관리를 위해 진료비 일부를 국가에서 지원해주기 위해 발급하는 카드는 무엇입니까</t>
    </r>
    <r>
      <rPr>
        <sz val="10"/>
        <rFont val="Arial"/>
        <family val="0"/>
        <charset val="1"/>
      </rPr>
      <t xml:space="preserve">?</t>
    </r>
  </si>
  <si>
    <t xml:space="preserve">국민행복카드</t>
  </si>
  <si>
    <r>
      <rPr>
        <sz val="10"/>
        <rFont val="Noto Sans CJK SC"/>
        <family val="2"/>
      </rPr>
      <t xml:space="preserve">고등 교육기관으로 고등학교 졸업자 또는 이와 동등한 학력이 있다고 인정된 사람이 입학하며 교육을 이수하며 학사학위를 받는 교육기관은 무엇입니까</t>
    </r>
    <r>
      <rPr>
        <sz val="10"/>
        <rFont val="Arial"/>
        <family val="0"/>
        <charset val="1"/>
      </rPr>
      <t xml:space="preserve">?</t>
    </r>
  </si>
  <si>
    <t xml:space="preserve">대학교</t>
  </si>
  <si>
    <r>
      <rPr>
        <sz val="10"/>
        <rFont val="Noto Sans CJK SC"/>
        <family val="2"/>
      </rPr>
      <t xml:space="preserve">중학교를 졸업한 사람에게 고등 보통 교육과 실업 교육을 실시하는 학교로 인문계와 실업계의 두 종류가 있으며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동안 교육하는 교육기관은 무엇입니까</t>
    </r>
    <r>
      <rPr>
        <sz val="10"/>
        <rFont val="Arial"/>
        <family val="0"/>
        <charset val="1"/>
      </rPr>
      <t xml:space="preserve">?</t>
    </r>
  </si>
  <si>
    <t xml:space="preserve">고등학교</t>
  </si>
  <si>
    <r>
      <rPr>
        <sz val="10"/>
        <rFont val="Noto Sans CJK SC"/>
        <family val="2"/>
      </rPr>
      <t xml:space="preserve">이민자가 우리말과 우리 문화를 빨리 익히도록 함에 따라 국민과의 원활한 의사소통으로 지역사회에 쉽게 융화될 수 있도록 지원해주는 프로그램은 무엇입니까</t>
    </r>
    <r>
      <rPr>
        <sz val="10"/>
        <rFont val="Arial"/>
        <family val="0"/>
        <charset val="1"/>
      </rPr>
      <t xml:space="preserve">?</t>
    </r>
  </si>
  <si>
    <t xml:space="preserve">사회통합프로그램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</si>
  <si>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</si>
  <si>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출산을 장려하고 양육에 대한 경제적 부담을 줄여주기 위해 임신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양육에 필요한 비용의 일부를 국가에서 지원해주기 위해 발급되는 카드는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</si>
  <si>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</si>
  <si>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세부터 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세까지 취학 전 아동을 대상으로 정부에서 제공하는 보육료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유아학비 지원서비스를 이용할 수 있는 카드를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</si>
  <si>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국민행복카드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아이행복카드에서 통합됨 </t>
    </r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</si>
  <si>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</si>
  <si>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대한민국의 교육과정은 초등학교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고등학교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대학교의 단계로 이루어져 있으며 대한민국 국민은 일정 기간동안 의무적으로 교육을 받아야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반드시 학교에서 교육을 받아야하는 의무 교육기간은 몇 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</si>
  <si>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(118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</si>
  <si>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정치</t>
  </si>
  <si>
    <t xml:space="preserve">민주주의</t>
  </si>
  <si>
    <r>
      <rPr>
        <sz val="10"/>
        <rFont val="Noto Sans CJK SC"/>
        <family val="2"/>
      </rPr>
      <t xml:space="preserve">여당이 무엇입니까</t>
    </r>
    <r>
      <rPr>
        <sz val="10"/>
        <rFont val="Arial"/>
        <family val="0"/>
        <charset val="1"/>
      </rPr>
      <t xml:space="preserve">?</t>
    </r>
  </si>
  <si>
    <t xml:space="preserve">대통령을 배출한 정당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</si>
  <si>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</si>
  <si>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nation</t>
  </si>
  <si>
    <t xml:space="preserve">주인은 국민이다</t>
  </si>
  <si>
    <r>
      <rPr>
        <sz val="10"/>
        <rFont val="Noto Sans CJK SC"/>
        <family val="2"/>
      </rPr>
      <t xml:space="preserve">대통령 임기는 몇 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</si>
  <si>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“5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</si>
  <si>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</si>
  <si>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대한민국의 주민이 누구입니까</t>
    </r>
    <r>
      <rPr>
        <sz val="10"/>
        <rFont val="Arial"/>
        <family val="0"/>
        <charset val="1"/>
      </rPr>
      <t xml:space="preserve">?</t>
    </r>
  </si>
  <si>
    <t xml:space="preserve">국민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</si>
  <si>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</si>
  <si>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국회의원 선거는 몇 년마다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</si>
  <si>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“4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</si>
  <si>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</si>
  <si>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정당이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</si>
  <si>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정치적 의견이나 주장이 같은 사람들이 모여 만든 단체로 국민의 의견을 모아 국회나 정부에 전달하고 대통령 선거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국회의원 선거 등에 후보자를 추천한다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</si>
  <si>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</si>
  <si>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대한민국의 주권은 누구에게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</si>
  <si>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 선거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몇 년마다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</si>
  <si>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 선거는 몇년 마다 몇월에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</si>
  <si>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“5</t>
    </r>
    <r>
      <rPr>
        <sz val="10"/>
        <rFont val="Noto Sans CJK SC"/>
        <family val="2"/>
      </rPr>
      <t xml:space="preserve">년마다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</si>
  <si>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</si>
  <si>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국회의원 선거의 실시 간격은 몇 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</si>
  <si>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야당이 무엇입니까</t>
    </r>
    <r>
      <rPr>
        <sz val="10"/>
        <rFont val="Arial"/>
        <family val="0"/>
        <charset val="1"/>
      </rPr>
      <t xml:space="preserve">?</t>
    </r>
  </si>
  <si>
    <t xml:space="preserve">여당을 제외한 나머지 정당</t>
  </si>
  <si>
    <r>
      <rPr>
        <sz val="10"/>
        <rFont val="Noto Sans CJK SC"/>
        <family val="2"/>
      </rPr>
      <t xml:space="preserve">대통령을 배출한 정당을 무엇이라고 합니까</t>
    </r>
    <r>
      <rPr>
        <sz val="10"/>
        <rFont val="Arial"/>
        <family val="0"/>
        <charset val="1"/>
      </rPr>
      <t xml:space="preserve">?</t>
    </r>
  </si>
  <si>
    <t xml:space="preserve">여당</t>
  </si>
  <si>
    <r>
      <rPr>
        <sz val="10"/>
        <rFont val="Noto Sans CJK SC"/>
        <family val="2"/>
      </rPr>
      <t xml:space="preserve">국회의원 선거는 몇 년마다 몇 월에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</si>
  <si>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“4</t>
    </r>
    <r>
      <rPr>
        <sz val="10"/>
        <rFont val="Noto Sans CJK SC"/>
        <family val="2"/>
      </rPr>
      <t xml:space="preserve">년마다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</si>
  <si>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여당을 제외한 나머지 정당을 무엇이라고 합니까</t>
    </r>
    <r>
      <rPr>
        <sz val="10"/>
        <rFont val="Arial"/>
        <family val="0"/>
        <charset val="1"/>
      </rPr>
      <t xml:space="preserve">?</t>
    </r>
  </si>
  <si>
    <t xml:space="preserve">야당</t>
  </si>
  <si>
    <r>
      <rPr>
        <sz val="10"/>
        <rFont val="Noto Sans CJK SC"/>
        <family val="2"/>
      </rPr>
      <t xml:space="preserve">투표하러 갈 때 꼭 가지고 가야하는 것은 무엇입니까</t>
    </r>
    <r>
      <rPr>
        <sz val="10"/>
        <rFont val="Arial"/>
        <family val="0"/>
        <charset val="1"/>
      </rPr>
      <t xml:space="preserve">?</t>
    </r>
  </si>
  <si>
    <t xml:space="preserve">신분증</t>
  </si>
  <si>
    <r>
      <rPr>
        <sz val="10"/>
        <rFont val="Noto Sans CJK SC"/>
        <family val="2"/>
      </rPr>
      <t xml:space="preserve">민주주의란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</si>
  <si>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국민이 주인이 되어 국민을 위해 정치가 이루어지는 제도입니다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</si>
  <si>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</si>
  <si>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공직선거에 입후보할 수 있는 권리를 무엇이라고 합니까</t>
    </r>
    <r>
      <rPr>
        <sz val="10"/>
        <rFont val="Arial"/>
        <family val="0"/>
        <charset val="1"/>
      </rPr>
      <t xml:space="preserve">?</t>
    </r>
  </si>
  <si>
    <t xml:space="preserve">피선거권</t>
  </si>
  <si>
    <r>
      <rPr>
        <sz val="10"/>
        <rFont val="Noto Sans CJK SC"/>
        <family val="2"/>
      </rPr>
      <t xml:space="preserve">선거에 참여하여 투표할 수 있는 국민의 권리는 무엇입니까</t>
    </r>
    <r>
      <rPr>
        <sz val="10"/>
        <rFont val="Arial"/>
        <family val="0"/>
        <charset val="1"/>
      </rPr>
      <t xml:space="preserve">?</t>
    </r>
  </si>
  <si>
    <t xml:space="preserve">선거권</t>
  </si>
  <si>
    <r>
      <rPr>
        <sz val="10"/>
        <rFont val="Noto Sans CJK SC"/>
        <family val="2"/>
      </rPr>
      <t xml:space="preserve">국민이 직접 정치에 참여하여 결정하는 것을 무엇이라고 합니까</t>
    </r>
    <r>
      <rPr>
        <sz val="10"/>
        <rFont val="Arial"/>
        <family val="0"/>
        <charset val="1"/>
      </rPr>
      <t xml:space="preserve">?</t>
    </r>
  </si>
  <si>
    <t xml:space="preserve">직접 민주주의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</si>
  <si>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</si>
  <si>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일정한 나이가 된 모든 국민에게 선거권이 있는 원칙을 무엇이라고 합니까</t>
    </r>
    <r>
      <rPr>
        <sz val="10"/>
        <rFont val="Arial"/>
        <family val="0"/>
        <charset val="1"/>
      </rPr>
      <t xml:space="preserve">?</t>
    </r>
  </si>
  <si>
    <t xml:space="preserve">보통선거</t>
  </si>
  <si>
    <r>
      <rPr>
        <sz val="10"/>
        <rFont val="Noto Sans CJK SC"/>
        <family val="2"/>
      </rPr>
      <t xml:space="preserve">사전투표란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</si>
  <si>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사전투표란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선거인이 별도의 신고 없이 사전투표 기간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선거일 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일부터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동안 신분증을 소지하고 전국 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동마다 설치된 사전투표소를 방문하여 투표할 수 있는 제도를 말합니다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</si>
  <si>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민주주의 사회에서 국가의 주권이 국민과 정부 중 어디에 있다고 생각합니까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</si>
  <si>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주권이 국민에게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국민의 의사에 따라 하는 정치는 무엇입니까</t>
    </r>
    <r>
      <rPr>
        <sz val="10"/>
        <rFont val="Arial"/>
        <family val="0"/>
        <charset val="1"/>
      </rPr>
      <t xml:space="preserve">?</t>
    </r>
  </si>
  <si>
    <t xml:space="preserve">민주 정치</t>
  </si>
  <si>
    <r>
      <rPr>
        <sz val="10"/>
        <rFont val="Noto Sans CJK SC"/>
        <family val="2"/>
      </rPr>
      <t xml:space="preserve">국민이 주인이 되어 국민을 위해 정치가 이루어지는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</si>
  <si>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투표를 통해 공직자나 대표자를 뽑는 의사를 결정하는 절차를 무엇이라고 합니까</t>
    </r>
    <r>
      <rPr>
        <sz val="10"/>
        <rFont val="Arial"/>
        <family val="0"/>
        <charset val="1"/>
      </rPr>
      <t xml:space="preserve">?</t>
    </r>
  </si>
  <si>
    <t xml:space="preserve">선거</t>
  </si>
  <si>
    <r>
      <rPr>
        <sz val="10"/>
        <rFont val="Noto Sans CJK SC"/>
        <family val="2"/>
      </rPr>
      <t xml:space="preserve">시민단체는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</si>
  <si>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시민들이 스스로 만든 단체로 여러 가지 사회 문제를 해결하고 공익을 추구하기 위해 활동한다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</si>
  <si>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 선거인이 가지는 선거권의 효과가 동등한 선거제도를 말하는 것은 무엇입니까</t>
    </r>
    <r>
      <rPr>
        <sz val="10"/>
        <rFont val="Arial"/>
        <family val="0"/>
        <charset val="1"/>
      </rPr>
      <t xml:space="preserve">?</t>
    </r>
  </si>
  <si>
    <t xml:space="preserve">평등선거</t>
  </si>
  <si>
    <r>
      <rPr>
        <sz val="10"/>
        <rFont val="Noto Sans CJK SC"/>
        <family val="2"/>
      </rPr>
      <t xml:space="preserve">국가의 주권이 국민에게 있고 국민을 위해 정치를 행하는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</si>
  <si>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뽑고자 하는 대표자를 선거권을 가진 사람이 직접 뽑을 수 있는 선거는 무엇입니까</t>
    </r>
    <r>
      <rPr>
        <sz val="10"/>
        <rFont val="Arial"/>
        <family val="0"/>
        <charset val="1"/>
      </rPr>
      <t xml:space="preserve">?</t>
    </r>
  </si>
  <si>
    <t xml:space="preserve">직접선거</t>
  </si>
  <si>
    <r>
      <rPr>
        <sz val="10"/>
        <rFont val="Noto Sans CJK SC"/>
        <family val="2"/>
      </rPr>
      <t xml:space="preserve">선거권을 가진 국민들이 직접 투표하여 자신의 대표를 뽑는 선거의 원칙은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</si>
  <si>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지방자치제도는 무엇인가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</si>
  <si>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주민 스스로 지역 대표를 뽑는 것을 지방자치제도라고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</si>
  <si>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누구에게 투표했는지 다른 사람이 알지 못하게 투표할 수 있는 선거원칙은 무엇입니까</t>
    </r>
    <r>
      <rPr>
        <sz val="10"/>
        <rFont val="Arial"/>
        <family val="0"/>
        <charset val="1"/>
      </rPr>
      <t xml:space="preserve">?</t>
    </r>
  </si>
  <si>
    <t xml:space="preserve">비밀선거</t>
  </si>
  <si>
    <r>
      <rPr>
        <sz val="10"/>
        <rFont val="Noto Sans CJK SC"/>
        <family val="2"/>
      </rPr>
      <t xml:space="preserve">국민이 국가의 주인으로서 국가 권력을 스스로 행사하는 정치 체제를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</si>
  <si>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세가 되면 한국 구민 누구나 선거에 참여할 수 있는 선거의 원칙은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</si>
  <si>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다른 사람이 대신할 수 없고 선거권을 가진 사람이 직접 투표를 하는 원칙은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</si>
  <si>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대한민국은 어떤 나라입니까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</si>
  <si>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정의롭고 자유로운 민주주의 국가입니다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</si>
  <si>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</si>
  <si>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빈부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학력에 관계없이 누구나 똑같이 한 표씩 투표할 수 있는 선거는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</si>
  <si>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투표한 사람이 어느 후보나 정당을 선택했는지 다른 사람이 알지 못하게 하는 선거는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</si>
  <si>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선거를 하거나 어떤 일을 결정할 때 정해진 용지에 의견을 표시하여 내는 일을 무엇이라고 합니까</t>
    </r>
    <r>
      <rPr>
        <sz val="10"/>
        <rFont val="Arial"/>
        <family val="0"/>
        <charset val="1"/>
      </rPr>
      <t xml:space="preserve">?</t>
    </r>
  </si>
  <si>
    <t xml:space="preserve">투표</t>
  </si>
  <si>
    <r>
      <rPr>
        <sz val="10"/>
        <rFont val="Noto Sans CJK SC"/>
        <family val="2"/>
      </rPr>
      <t xml:space="preserve">지방의회의원과 지방자치단체장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교육감을 뽑는 선거로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년에 한 번씩 실시되는 선거는 무엇입니까</t>
    </r>
    <r>
      <rPr>
        <sz val="10"/>
        <rFont val="Arial"/>
        <family val="0"/>
        <charset val="1"/>
      </rPr>
      <t xml:space="preserve">?</t>
    </r>
  </si>
  <si>
    <t xml:space="preserve">지방선거</t>
  </si>
  <si>
    <r>
      <rPr>
        <sz val="10"/>
        <rFont val="Noto Sans CJK SC"/>
        <family val="2"/>
      </rPr>
      <t xml:space="preserve">민주주의에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</si>
  <si>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국가의 주권이 국민에게 있고 국민을 위해 정치가 이루어지는 제도를 말합니다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</si>
  <si>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정치에 대한 비슷한 생각과 주장을 가진 사람들이 모여 함께 만든 자발적 단체를 무엇이라고 합니까</t>
    </r>
    <r>
      <rPr>
        <sz val="10"/>
        <rFont val="Arial"/>
        <family val="0"/>
        <charset val="1"/>
      </rPr>
      <t xml:space="preserve">?</t>
    </r>
  </si>
  <si>
    <t xml:space="preserve">정당</t>
  </si>
  <si>
    <r>
      <rPr>
        <sz val="10"/>
        <rFont val="Noto Sans CJK SC"/>
        <family val="2"/>
      </rPr>
      <t xml:space="preserve">유권자가 어느 후보에게 투표했는지 다른 사람이 알지 못하도록 비밀이 보장되는 선거원칙은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</si>
  <si>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선거일에 다른 일정 때문에 투표를 할 수 없는 경우 미리 투표할 수 있는 제도를 무엇이라고 합니까</t>
    </r>
    <r>
      <rPr>
        <sz val="10"/>
        <rFont val="Arial"/>
        <family val="0"/>
        <charset val="1"/>
      </rPr>
      <t xml:space="preserve">?</t>
    </r>
  </si>
  <si>
    <t xml:space="preserve">사전투표</t>
  </si>
  <si>
    <r>
      <rPr>
        <sz val="10"/>
        <rFont val="Noto Sans CJK SC"/>
        <family val="2"/>
      </rPr>
      <t xml:space="preserve">국가의 중요 공무원을 선출하는 선거인단에 참여할 수 있는 국민의 권리 또는 자격을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</si>
  <si>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독재주의에 대해 설명해보세요</t>
    </r>
    <r>
      <rPr>
        <sz val="10"/>
        <rFont val="Arial"/>
        <family val="0"/>
        <charset val="1"/>
      </rPr>
      <t xml:space="preserve">.</t>
    </r>
  </si>
  <si>
    <t xml:space="preserve">일인 또는 일정한 집단에 권력을 집중시키거나 일부를 배척하면서 지배하는 정치 제도</t>
  </si>
  <si>
    <r>
      <rPr>
        <sz val="10"/>
        <rFont val="Noto Sans CJK SC"/>
        <family val="2"/>
      </rPr>
      <t xml:space="preserve">동일한 정견을 가진 사람들이 정권을 획득하여 정치적 이상을 실현하기 위하여 조직한 단체는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</si>
  <si>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선거를 하거나 어떤 일을 결정할 때 투표용지에 의사를 표시하여 일정한 곳에 내는 일을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</si>
  <si>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기본적 인권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자유권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평등권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다수결의 원리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법치주의 따위를 그 기본 원리로 하는 것을 뭐라고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</si>
  <si>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지방 선거는 몇 년마다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</si>
  <si>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년마다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</si>
  <si>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삼권분립은 어떻게 나누어집니까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</si>
  <si>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입법부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행정부</t>
    </r>
  </si>
  <si>
    <r>
      <rPr>
        <sz val="10"/>
        <rFont val="Noto Sans CJK SC"/>
        <family val="2"/>
      </rPr>
      <t xml:space="preserve">선거의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원칙을 말해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</si>
  <si>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보통선거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평등선거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직접선거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비밀선거</t>
    </r>
  </si>
  <si>
    <r>
      <rPr>
        <sz val="10"/>
        <rFont val="Noto Sans CJK SC"/>
        <family val="2"/>
      </rPr>
      <t xml:space="preserve">지방자치제도 원리는 어디서 나오는가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</si>
  <si>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지방자치제도는 주권이 국민에게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국민이 스스로 다스린다는 민주주의 기본 원리에서 나온다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</si>
  <si>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삼권분립이 필요한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</si>
  <si>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국가권력의 집중과 남용을 방지하기 위해서입니다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</si>
  <si>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지방 선거의 실시 간격은 몇 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</si>
  <si>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외국인의 선거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권리에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</si>
  <si>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대통령이나 국회의원 선거와 같이 국민의 대표를 뽑는 선거에 참여할 수 없다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영주권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이후부터 지역 주민 대표를 뽑는 투표에 참여할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</si>
  <si>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지방자치제는 어떻게 이루어져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</si>
  <si>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서울특별시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세종특별자치시</t>
    </r>
    <r>
      <rPr>
        <sz val="10"/>
        <rFont val="Arial"/>
        <family val="0"/>
        <charset val="1"/>
      </rPr>
      <t xml:space="preserve">, 6</t>
    </r>
    <r>
      <rPr>
        <sz val="10"/>
        <rFont val="Noto Sans CJK SC"/>
        <family val="2"/>
      </rPr>
      <t xml:space="preserve">개 광역시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울산</t>
    </r>
    <r>
      <rPr>
        <sz val="10"/>
        <rFont val="Arial"/>
        <family val="0"/>
        <charset val="1"/>
      </rPr>
      <t xml:space="preserve">), 8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경기도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충청북도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충청남도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전라북도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전라남도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제주특별자치도와 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구로 구분되고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</si>
  <si>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대한민국은 국가권력을 어떻게 분리하고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</si>
  <si>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국민이 정치에 참여하는 방법에 대해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</si>
  <si>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선거에 참여하여 투표를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공청회에 참여합니다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 국가 기관에 의견을 제시하고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시민 단체 활동에 가입하여 활동을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</si>
  <si>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선거에 참여하여 투표할 수 있는 나이는 몇 세입니까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</si>
  <si>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</t>
    </r>
  </si>
  <si>
    <r>
      <rPr>
        <sz val="10"/>
        <rFont val="Noto Sans CJK SC"/>
        <family val="2"/>
      </rPr>
      <t xml:space="preserve">국민이 투표 또는 선거에 참여하여야 하는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</si>
  <si>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국민은 국가의 주인으로서의 권리를 행사하여야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</si>
  <si>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</si>
  <si>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민주주의를 실현하기 위해 국민들이 정치에 참여할 수 있는 방법은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</si>
  <si>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1) TV</t>
    </r>
    <r>
      <rPr>
        <sz val="10"/>
        <rFont val="Noto Sans CJK SC"/>
        <family val="2"/>
      </rPr>
      <t xml:space="preserve">나 신문 등의 대중매체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인터넷을 통해 자신의 의견을 전달합니다</t>
    </r>
    <r>
      <rPr>
        <sz val="10"/>
        <rFont val="Arial"/>
        <family val="0"/>
        <charset val="1"/>
      </rPr>
      <t xml:space="preserve">.
2) </t>
    </r>
    <r>
      <rPr>
        <sz val="10"/>
        <rFont val="Noto Sans CJK SC"/>
        <family val="2"/>
      </rPr>
      <t xml:space="preserve">집회나 시위를 통해 자신의 주장이나 의견을 전달합니다</t>
    </r>
    <r>
      <rPr>
        <sz val="10"/>
        <rFont val="Arial"/>
        <family val="0"/>
        <charset val="1"/>
      </rPr>
      <t xml:space="preserve">.
3) </t>
    </r>
    <r>
      <rPr>
        <sz val="10"/>
        <rFont val="Noto Sans CJK SC"/>
        <family val="2"/>
      </rPr>
      <t xml:space="preserve">정당과 시민단체운동을 통해 정치에 참여합니다</t>
    </r>
    <r>
      <rPr>
        <sz val="10"/>
        <rFont val="Arial"/>
        <family val="0"/>
        <charset val="1"/>
      </rPr>
      <t xml:space="preserve">.
4) </t>
    </r>
    <r>
      <rPr>
        <sz val="10"/>
        <rFont val="Noto Sans CJK SC"/>
        <family val="2"/>
      </rPr>
      <t xml:space="preserve">나라의 일꾼을 뽑는 선거에 참여합니다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</si>
  <si>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 민주주의 발전에 영향을 미친 사건은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</si>
  <si>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4.19 </t>
    </r>
    <r>
      <rPr>
        <sz val="10"/>
        <rFont val="Noto Sans CJK SC"/>
        <family val="2"/>
      </rPr>
      <t xml:space="preserve">혁명</t>
    </r>
    <r>
      <rPr>
        <sz val="10"/>
        <rFont val="Arial"/>
        <family val="0"/>
        <charset val="1"/>
      </rPr>
      <t xml:space="preserve">, 5.18 </t>
    </r>
    <r>
      <rPr>
        <sz val="10"/>
        <rFont val="Noto Sans CJK SC"/>
        <family val="2"/>
      </rPr>
      <t xml:space="preserve">광주 민주화운동</t>
    </r>
    <r>
      <rPr>
        <sz val="10"/>
        <rFont val="Arial"/>
        <family val="0"/>
        <charset val="1"/>
      </rPr>
      <t xml:space="preserve">, 6</t>
    </r>
    <r>
      <rPr>
        <sz val="10"/>
        <rFont val="Noto Sans CJK SC"/>
        <family val="2"/>
      </rPr>
      <t xml:space="preserve">월 민주항쟁</t>
    </r>
  </si>
  <si>
    <r>
      <rPr>
        <sz val="10"/>
        <rFont val="Noto Sans CJK SC"/>
        <family val="2"/>
      </rPr>
      <t xml:space="preserve">국민이 선거를 통해 선출한 대표자가 정치에 참여하는 제도 무엇입니까</t>
    </r>
    <r>
      <rPr>
        <sz val="10"/>
        <rFont val="Arial"/>
        <family val="0"/>
        <charset val="1"/>
      </rPr>
      <t xml:space="preserve">?</t>
    </r>
  </si>
  <si>
    <t xml:space="preserve">간접 민주주의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</si>
  <si>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년마다 행정부와 국가를 대표하는 사람을 뽑는 선거를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</si>
  <si>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 선거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</si>
  <si>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외국인은 지역 주민의 대표를 언제부터 선거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하고 참여할 수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</si>
  <si>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영주권을 얻는지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이후</t>
    </r>
  </si>
  <si>
    <r>
      <rPr>
        <sz val="10"/>
        <rFont val="Noto Sans CJK SC"/>
        <family val="2"/>
      </rPr>
      <t xml:space="preserve">국민이 뽑은 대표가 그 결정을 대신하는 것을 말하는 선거인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</si>
  <si>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국민이 선출한 대표들이 국가의 일을 대신해 결정하는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</si>
  <si>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민주주의를 위해 국민들이 정치에 참여할 수 있는 대표적인 방법은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</si>
  <si>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선거에 참여합니다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</si>
  <si>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 민주정치의 발전에 영향을 미친 주요 사건에는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</si>
  <si>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단체나 기관에서 의사 결정할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다수의 의견을 따르는 방법을 무엇이라고 합니까</t>
    </r>
    <r>
      <rPr>
        <sz val="10"/>
        <rFont val="Arial"/>
        <family val="0"/>
        <charset val="1"/>
      </rPr>
      <t xml:space="preserve">?</t>
    </r>
  </si>
  <si>
    <t xml:space="preserve">다수결의 원리</t>
  </si>
  <si>
    <r>
      <rPr>
        <sz val="10"/>
        <rFont val="Noto Sans CJK SC"/>
        <family val="2"/>
      </rPr>
      <t xml:space="preserve">어떠한 문제에 대해 결정을 내릴 때 다수의 의견을 따르는 방법을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</si>
  <si>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자유가 보장되고 모두가 평등한 생활을 보호 받을 수 있는 제도와 정치체제는 무엇입니까</t>
    </r>
    <r>
      <rPr>
        <sz val="10"/>
        <rFont val="Arial"/>
        <family val="0"/>
        <charset val="1"/>
      </rPr>
      <t xml:space="preserve">?</t>
    </r>
  </si>
  <si>
    <t xml:space="preserve">자유민주주의</t>
  </si>
  <si>
    <r>
      <rPr>
        <sz val="10"/>
        <rFont val="Noto Sans CJK SC"/>
        <family val="2"/>
      </rPr>
      <t xml:space="preserve">대통령을 선출하기 위해 치르는 선거를 말하며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년에 한 번씩 실시되는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</si>
  <si>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(49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</si>
  <si>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전국에서 일어난 반독제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민주화 시위를 말하며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이후 대통령 직선제가 이루어진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</si>
  <si>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민주항쟁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</si>
  <si>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</si>
  <si>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의사를 통일하는 민주주의 기본 원칙 가운데 하나로 다수의 의견을 따르는 방법을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</si>
  <si>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개인의 자유와 권리가 보장되고 모두 평등한 생활을 보호받을 수 있는 제도와 정치 체제를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</si>
  <si>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군부 세력의 퇴진 및 민주정부 수립 등을 요구하며 광주와 전남지역의 시민들이 벌인 민주화운동은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</si>
  <si>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5.18 </t>
    </r>
    <r>
      <rPr>
        <sz val="10"/>
        <rFont val="Noto Sans CJK SC"/>
        <family val="2"/>
      </rPr>
      <t xml:space="preserve">광주 민주화운동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</si>
  <si>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</si>
  <si>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국가권력을 입법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사법으로 나누어 국가 권력의 집중과 남용을 방지하려는 통치조직원리를 무엇이라고 합니까</t>
    </r>
    <r>
      <rPr>
        <sz val="10"/>
        <rFont val="Arial"/>
        <family val="0"/>
        <charset val="1"/>
      </rPr>
      <t xml:space="preserve">?</t>
    </r>
  </si>
  <si>
    <t xml:space="preserve">삼권분립</t>
  </si>
  <si>
    <r>
      <rPr>
        <sz val="10"/>
        <rFont val="Noto Sans CJK SC"/>
        <family val="2"/>
      </rPr>
      <t xml:space="preserve">국가 권력이 어느 한 곳에 집중될 때 생기는 독재 등의 문제들이 생기지 않게 하기 위한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</si>
  <si>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국가를 대표하고 국가 운영에 관한 최고 권한을 가진 사람을 뽑는 선거로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년에 한 번씩 실시되는 선거는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</si>
  <si>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</si>
  <si>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권력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종교 등의 조건에 관계없이 공평하게 한 사람이 한 표씩 투표하는 선거의 원칙은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</si>
  <si>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뜻을 정치에 반영하여 국민 대신 법을 만드는 국회의원을 뽑는 선거로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년에 한 번씩 실시되는 선거는 무엇입니까</t>
    </r>
    <r>
      <rPr>
        <sz val="10"/>
        <rFont val="Arial"/>
        <family val="0"/>
        <charset val="1"/>
      </rPr>
      <t xml:space="preserve">?</t>
    </r>
  </si>
  <si>
    <t xml:space="preserve">국회의원 선거</t>
  </si>
  <si>
    <r>
      <rPr>
        <sz val="10"/>
        <rFont val="Noto Sans CJK SC"/>
        <family val="2"/>
      </rPr>
      <t xml:space="preserve">인간의 존엄성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개인의 자유와 인권을 보장하면서 모두가 인간다운 삶을 영위하는 가운데 자아를 실현하도록 하는 이념을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</si>
  <si>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</si>
  <si>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정치적 의견이나 주장이 같은 사람들이 모여 만든 단체로서 국민으로부터 권력을 얻어 자신들의 의견이나 주장을 실현하고자 하는 단체는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</si>
  <si>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대표로서 국회를 이루는 구성원을 뽑는 선거로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년에 한번씩 투표하는 선거는 무엇입니까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국회의원을 한번에 뽑는 선거는 무엇이라고 합니까</t>
    </r>
    <r>
      <rPr>
        <sz val="10"/>
        <rFont val="Arial"/>
        <family val="0"/>
        <charset val="1"/>
      </rPr>
      <t xml:space="preserve">?</t>
    </r>
  </si>
  <si>
    <t xml:space="preserve">총선</t>
  </si>
  <si>
    <r>
      <rPr>
        <sz val="10"/>
        <rFont val="Noto Sans CJK SC"/>
        <family val="2"/>
      </rPr>
      <t xml:space="preserve">사유 재산의 소유와 자유로운 경제활동을 보장함으로써 근로 의욕을 높이고 생산성을 향상시키고자 하는 자본주의 이념을 바탕으로 하는 것을 무엇이라고 합니까</t>
    </r>
    <r>
      <rPr>
        <sz val="10"/>
        <rFont val="Arial"/>
        <family val="0"/>
        <charset val="1"/>
      </rPr>
      <t xml:space="preserve">?</t>
    </r>
  </si>
  <si>
    <t xml:space="preserve">시장경제 체제</t>
  </si>
  <si>
    <r>
      <rPr>
        <sz val="10"/>
        <rFont val="Arial"/>
        <family val="0"/>
        <charset val="1"/>
      </rPr>
      <t xml:space="preserve">1987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민주항쟁의 결과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년 만에 국민이 직접 대통령을 선출하게 되었습니다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국민들이 대통령을 뽑는 직첩 참여하는 선거 제도는 무엇입니까</t>
    </r>
    <r>
      <rPr>
        <sz val="10"/>
        <rFont val="Arial"/>
        <family val="0"/>
        <charset val="1"/>
      </rPr>
      <t xml:space="preserve">?</t>
    </r>
  </si>
  <si>
    <t xml:space="preserve">대통령직선제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</si>
  <si>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</si>
  <si>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민주주의 국가에서 정치에 참여하는 기본적인 방법으로 투표를 통해 대표자나 공직자를 뽑는 의사를 결정하는 절차를 말하며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이상 선거에 참여할 수 있는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</si>
  <si>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</si>
  <si>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지역주민의 대표자인 지방의회 의원 및 지방자치단체의 장을 선출하기 위한 지방선거는 몇 년마다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몇 월에 시행합니까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</si>
  <si>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1960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월에 학생을 비롯한 국민들이 이승만 전 대통령 자유당 정부의 독재와 부정부패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부정선거에 항의하여 벌인 민주항쟁은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</si>
  <si>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4.19 </t>
    </r>
    <r>
      <rPr>
        <sz val="10"/>
        <rFont val="Noto Sans CJK SC"/>
        <family val="2"/>
      </rPr>
      <t xml:space="preserve">혁명</t>
    </r>
  </si>
  <si>
    <t xml:space="preserve">국민의 권리와 의무</t>
  </si>
  <si>
    <r>
      <rPr>
        <sz val="10"/>
        <rFont val="Noto Sans CJK SC"/>
        <family val="2"/>
      </rPr>
      <t xml:space="preserve">국민의 기본권 중 부당하게 차별받지 않을 권리는 무엇입니까</t>
    </r>
    <r>
      <rPr>
        <sz val="10"/>
        <rFont val="Arial"/>
        <family val="0"/>
        <charset val="1"/>
      </rPr>
      <t xml:space="preserve">?</t>
    </r>
  </si>
  <si>
    <t xml:space="preserve">평등권</t>
  </si>
  <si>
    <t xml:space="preserve">누릴 것과 할 것</t>
  </si>
  <si>
    <r>
      <rPr>
        <sz val="10"/>
        <rFont val="Noto Sans CJK SC"/>
        <family val="2"/>
      </rPr>
      <t xml:space="preserve">국민의 기본권 중 개인의 자유를 침해 받지 않을 권리는 무엇입니까</t>
    </r>
    <r>
      <rPr>
        <sz val="10"/>
        <rFont val="Arial"/>
        <family val="0"/>
        <charset val="1"/>
      </rPr>
      <t xml:space="preserve">?</t>
    </r>
  </si>
  <si>
    <t xml:space="preserve">자유권</t>
  </si>
  <si>
    <r>
      <rPr>
        <sz val="10"/>
        <rFont val="Noto Sans CJK SC"/>
        <family val="2"/>
      </rPr>
      <t xml:space="preserve">사회 전체의 이익을 위해 시민들이 자발적으로 만든 집단은 무엇입니까</t>
    </r>
    <r>
      <rPr>
        <sz val="10"/>
        <rFont val="Arial"/>
        <family val="0"/>
        <charset val="1"/>
      </rPr>
      <t xml:space="preserve">?</t>
    </r>
  </si>
  <si>
    <t xml:space="preserve">시민단체</t>
  </si>
  <si>
    <r>
      <rPr>
        <sz val="10"/>
        <rFont val="Noto Sans CJK SC"/>
        <family val="2"/>
      </rPr>
      <t xml:space="preserve">국민이 선거에 참여할 수 있도록 헌법이 보장하는 권리를 무엇이라고 합니까</t>
    </r>
    <r>
      <rPr>
        <sz val="10"/>
        <rFont val="Arial"/>
        <family val="0"/>
        <charset val="1"/>
      </rPr>
      <t xml:space="preserve">?</t>
    </r>
  </si>
  <si>
    <t xml:space="preserve">참정권</t>
  </si>
  <si>
    <r>
      <rPr>
        <sz val="10"/>
        <rFont val="Noto Sans CJK SC"/>
        <family val="2"/>
      </rPr>
      <t xml:space="preserve">노동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권은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</si>
  <si>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단결권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단체 교섭권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단체 행동권</t>
    </r>
  </si>
  <si>
    <r>
      <rPr>
        <sz val="10"/>
        <rFont val="Noto Sans CJK SC"/>
        <family val="2"/>
      </rPr>
      <t xml:space="preserve">국민의 기본권 중 국가에 일정한 요구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할 수 있는 권리는 무엇입니까</t>
    </r>
    <r>
      <rPr>
        <sz val="10"/>
        <rFont val="Arial"/>
        <family val="0"/>
        <charset val="1"/>
      </rPr>
      <t xml:space="preserve">?</t>
    </r>
  </si>
  <si>
    <t xml:space="preserve">청구권</t>
  </si>
  <si>
    <r>
      <rPr>
        <sz val="10"/>
        <rFont val="Noto Sans CJK SC"/>
        <family val="2"/>
      </rPr>
      <t xml:space="preserve">대한민국의 남자가 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이후 나라를 지키기 위해 가야 하는 곳은 어디입니까</t>
    </r>
    <r>
      <rPr>
        <sz val="10"/>
        <rFont val="Arial"/>
        <family val="0"/>
        <charset val="1"/>
      </rPr>
      <t xml:space="preserve">?</t>
    </r>
  </si>
  <si>
    <t xml:space="preserve">군대</t>
  </si>
  <si>
    <r>
      <rPr>
        <sz val="10"/>
        <rFont val="Noto Sans CJK SC"/>
        <family val="2"/>
      </rPr>
      <t xml:space="preserve">국민의 기본권 중 국민이 직접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간접으로 국정에 참여할 수 있는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</si>
  <si>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인간으로서 누려야 할 최소한의 생활을 국가에 요구할 수 있는 권리를 무엇이라고 합니까</t>
    </r>
    <r>
      <rPr>
        <sz val="10"/>
        <rFont val="Arial"/>
        <family val="0"/>
        <charset val="1"/>
      </rPr>
      <t xml:space="preserve">?</t>
    </r>
  </si>
  <si>
    <t xml:space="preserve">사회권</t>
  </si>
  <si>
    <r>
      <rPr>
        <sz val="10"/>
        <rFont val="Noto Sans CJK SC"/>
        <family val="2"/>
      </rPr>
      <t xml:space="preserve">선거관리위원회란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</si>
  <si>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선거와 국민투표의 공정한 관리 및 정당에 관한 여러 가지 일을 처리하는 기관으로 후보자나 유권자들이 선거법을 어기지 않도록 예방하고 감시하며 단속하는 활동이다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</si>
  <si>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국민의 권리를 침해당했을 때 국가에 그 구제를 요구할 수 있는 헌법상 권리를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</si>
  <si>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기본권 중 모든 국민이 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직업 등에 의해 차별 받지 않을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</si>
  <si>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인간이 태어날 때부터 자연적으로 가지는 권리로 헌법에 의하여 보장되는 국민의 기본적인 권리는 무엇입니까</t>
    </r>
    <r>
      <rPr>
        <sz val="10"/>
        <rFont val="Arial"/>
        <family val="0"/>
        <charset val="1"/>
      </rPr>
      <t xml:space="preserve">?</t>
    </r>
  </si>
  <si>
    <t xml:space="preserve">기본권</t>
  </si>
  <si>
    <r>
      <rPr>
        <sz val="10"/>
        <rFont val="Noto Sans CJK SC"/>
        <family val="2"/>
      </rPr>
      <t xml:space="preserve">국민의 기본권 중 인간다운 삶을 위하여 필요한 사회적 보장책을 국가에 요구할 수 있는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</si>
  <si>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의무를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</si>
  <si>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교육의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국방의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납세의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재산권 행사 공공 복리 적합의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 보전의 의무</t>
    </r>
  </si>
  <si>
    <r>
      <rPr>
        <sz val="10"/>
        <rFont val="Noto Sans CJK SC"/>
        <family val="2"/>
      </rPr>
      <t xml:space="preserve">신분이나 성별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지역에 따라 차별을 받지 않고 누구나 동등한 대우를 받아야 하는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</si>
  <si>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국민이 국가에 대하여 일정한 요구를 할 수 있는 권리로 청원권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재판 청구권 등이 포함된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</si>
  <si>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국방의 의무에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</si>
  <si>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국민이 나라를 지켜야 하는 의무입니다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</si>
  <si>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근로의 의무에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</si>
  <si>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자신의 능력 범위 내에서 근로를 하여야 할 의무입니다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</si>
  <si>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납세의 의무에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</si>
  <si>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국가 또는 공공단체의 유지에 필요한 경비를 충당하기 위하여 국민이 조세를 납부하는 의무입니다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</si>
  <si>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국민의 기본권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</si>
  <si>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평등권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근로권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청구권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참정권</t>
    </r>
  </si>
  <si>
    <r>
      <rPr>
        <sz val="10"/>
        <rFont val="Noto Sans CJK SC"/>
        <family val="2"/>
      </rPr>
      <t xml:space="preserve">교육의 의무에 대해 설명해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</si>
  <si>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국민이 자녀를 최소 중학교까지 교육받도록 해야 하는 의무입니다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</si>
  <si>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교육을 받아야 하는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</si>
  <si>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개인의 성장과 나라의 발전을 위해서 필요하기 때문입니다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</si>
  <si>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노동자의 권한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권리</t>
    </r>
    <r>
      <rPr>
        <sz val="10"/>
        <rFont val="Arial"/>
        <family val="0"/>
        <charset val="1"/>
      </rPr>
      <t xml:space="preserve">) 3</t>
    </r>
    <r>
      <rPr>
        <sz val="10"/>
        <rFont val="Noto Sans CJK SC"/>
        <family val="2"/>
      </rPr>
      <t xml:space="preserve">권은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</si>
  <si>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헌법상 규정된 국민의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</si>
  <si>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납세의 의무</t>
    </r>
  </si>
  <si>
    <r>
      <rPr>
        <sz val="10"/>
        <rFont val="Noto Sans CJK SC"/>
        <family val="2"/>
      </rPr>
      <t xml:space="preserve">헌법상 규정된 국민의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</si>
  <si>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납세의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환경보전의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재산권행사 공공복리적합의 의무</t>
    </r>
  </si>
  <si>
    <r>
      <rPr>
        <sz val="10"/>
        <rFont val="Noto Sans CJK SC"/>
        <family val="2"/>
      </rPr>
      <t xml:space="preserve">모든 국민이 최소 중학교까지 교육 받을 의무를 무엇이라고 합니까</t>
    </r>
    <r>
      <rPr>
        <sz val="10"/>
        <rFont val="Arial"/>
        <family val="0"/>
        <charset val="1"/>
      </rPr>
      <t xml:space="preserve">?</t>
    </r>
  </si>
  <si>
    <t xml:space="preserve">교육의 의무</t>
  </si>
  <si>
    <r>
      <rPr>
        <sz val="10"/>
        <rFont val="Noto Sans CJK SC"/>
        <family val="2"/>
      </rPr>
      <t xml:space="preserve">나라가 침략당했을 때 국민으로서 이행해야 하는 의무는 무엇입니까</t>
    </r>
    <r>
      <rPr>
        <sz val="10"/>
        <rFont val="Arial"/>
        <family val="0"/>
        <charset val="1"/>
      </rPr>
      <t xml:space="preserve">?</t>
    </r>
  </si>
  <si>
    <t xml:space="preserve">국방의 의무</t>
  </si>
  <si>
    <r>
      <rPr>
        <sz val="10"/>
        <rFont val="Noto Sans CJK SC"/>
        <family val="2"/>
      </rPr>
      <t xml:space="preserve">지역 주민들의 행정 업무와 민원 업무를 처리하는 관공서는 어디입니까</t>
    </r>
    <r>
      <rPr>
        <sz val="10"/>
        <rFont val="Arial"/>
        <family val="0"/>
        <charset val="1"/>
      </rPr>
      <t xml:space="preserve">?</t>
    </r>
  </si>
  <si>
    <t xml:space="preserve">행정복지센터</t>
  </si>
  <si>
    <r>
      <rPr>
        <sz val="10"/>
        <rFont val="Noto Sans CJK SC"/>
        <family val="2"/>
      </rPr>
      <t xml:space="preserve">건강하고 쾌적한 환경에서 생활하기 위해 환경을 보전해야할 의무는 무엇입니까</t>
    </r>
    <r>
      <rPr>
        <sz val="10"/>
        <rFont val="Arial"/>
        <family val="0"/>
        <charset val="1"/>
      </rPr>
      <t xml:space="preserve">?</t>
    </r>
  </si>
  <si>
    <t xml:space="preserve">환경 보전의 의무</t>
  </si>
  <si>
    <r>
      <rPr>
        <sz val="10"/>
        <rFont val="Noto Sans CJK SC"/>
        <family val="2"/>
      </rPr>
      <t xml:space="preserve">대한민국 국민의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의무 중 국민으로서 나라를 지켜야 하는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</si>
  <si>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개개인이 보호하는 자녀에게 법률이 정하는 교육을 받게 할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</si>
  <si>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국민고충처리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부패방지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행정심판 기능을 수행하는 합의제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</si>
  <si>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소비자의 권익을 증진하고 소비 생활을 향상시키기 위하여 설립된 전문기관은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</si>
  <si>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기본적 의무 중 모든 국민이 환경을 보전하고 오염시키지 않을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</si>
  <si>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지역 주민의 생활 업무를 처리하고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문화 및 복지 서비스를 지원하는 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</si>
  <si>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국민은 일을 해서 국가에 세금을 내는데 국민에게서 거둔 세금은 어디에 사용이 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</si>
  <si>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복지 등 다양한 분야에 사용됩니다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</si>
  <si>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대한민국의 국민이라면 누구나 누릴 수 있는 권리로 헌법에 보장되어 있는 국민의 권리를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</si>
  <si>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</si>
  <si>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국민의 기본적 의무 중 재산권의 행사는 공공복리에 적합하도록 행사하여야 한다는 의무는 무엇입니까</t>
    </r>
    <r>
      <rPr>
        <sz val="10"/>
        <rFont val="Arial"/>
        <family val="0"/>
        <charset val="1"/>
      </rPr>
      <t xml:space="preserve">?</t>
    </r>
  </si>
  <si>
    <t xml:space="preserve">재산권행사 공공복리적합의 의무</t>
  </si>
  <si>
    <r>
      <rPr>
        <sz val="10"/>
        <rFont val="Noto Sans CJK SC"/>
        <family val="2"/>
      </rPr>
      <t xml:space="preserve">지역 주민을 위해 운영하는 문화 복지 행정시설로 주민의 생활 업무를 처리하는 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</si>
  <si>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동을 관리하고 주민 생활 업무를 처리하는 행정기관으로 아기가 태어나면 출생신고를 하는 곳은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</si>
  <si>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인간다운 생활에 필요한 최소한의 수준을 보장받을 권리로 근로권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환경권 등이 포함된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</si>
  <si>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국민은 본인의 생활과 국가의 발전을 위하여 열심히 일을 할 의무가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의무를 무엇이라고 합니까</t>
    </r>
    <r>
      <rPr>
        <sz val="10"/>
        <rFont val="Arial"/>
        <family val="0"/>
        <charset val="1"/>
      </rPr>
      <t xml:space="preserve">?</t>
    </r>
  </si>
  <si>
    <t xml:space="preserve">근로의 의무</t>
  </si>
  <si>
    <r>
      <rPr>
        <sz val="10"/>
        <rFont val="Noto Sans CJK SC"/>
        <family val="2"/>
      </rPr>
      <t xml:space="preserve">대한민국 국민은 일하여 번 돈으로 생활을 유지하고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돈을 번 만큼 일정한 금액을 세금으로 내는데 이 의무는 무엇입니까</t>
    </r>
    <r>
      <rPr>
        <sz val="10"/>
        <rFont val="Arial"/>
        <family val="0"/>
        <charset val="1"/>
      </rPr>
      <t xml:space="preserve">?</t>
    </r>
  </si>
  <si>
    <t xml:space="preserve">납세의 의무</t>
  </si>
  <si>
    <r>
      <rPr>
        <sz val="10"/>
        <rFont val="Noto Sans CJK SC"/>
        <family val="2"/>
      </rPr>
      <t xml:space="preserve">시민들이 광장 등에서 촛불을 들고 벌이는 집회로 주로 야간에서 이루어지며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시민 주도 비폭력 저항의 상징인 이것은 무엇입니까</t>
    </r>
    <r>
      <rPr>
        <sz val="10"/>
        <rFont val="Arial"/>
        <family val="0"/>
        <charset val="1"/>
      </rPr>
      <t xml:space="preserve">?</t>
    </r>
  </si>
  <si>
    <t xml:space="preserve">촛불집회</t>
  </si>
  <si>
    <r>
      <rPr>
        <sz val="10"/>
        <rFont val="Noto Sans CJK SC"/>
        <family val="2"/>
      </rPr>
      <t xml:space="preserve">모든 개인이 가지는 불가침의 기본적 인권을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증진하여 인간으로서의 존엄과 가치를 구현하고 민주적 기본질서 확립을 위한 인권전담 독립 국가기관은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</si>
  <si>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</si>
  <si>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선거와 국민투표의 공정한 관리 및 정당에 관한 여러 가지 일을 처리하는 기관으로 후보자나 유권자들이 선거법을 어기지 않도록 예방하고 감시하며 단속하는 활동은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</si>
  <si>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</si>
  <si>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국가 권력에 의해 개인의 자유를 함부로 제한받지 않을 권리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침해당하지 않을 권리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신체의 자유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사생활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종교의 자유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이전의 자유 등이 포함된 권리는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</si>
  <si>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모든 국민이 능동적으로 정치에 참여할 수 있는 권리로 선거에서 투표할 수 있는 권리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공무원이 될 수 있는 권리 등이 포함된 권리는 무엇입니까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공무원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피선거권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선거권 등에 대한 권리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</si>
  <si>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</si>
  <si>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개인의 행복과 국가의 발전을 위해 자신이 맡은 일을 열심히 해야 하는 의무로 대한민국 국민이라면 누구나 자신의 능력 범위 내에서 적당한 근로를 통해 생활을 꾸려 나가야 하는 의무는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</si>
  <si>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</si>
  <si>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t xml:space="preserve">입법부</t>
  </si>
  <si>
    <r>
      <rPr>
        <sz val="10"/>
        <rFont val="Noto Sans CJK SC"/>
        <family val="2"/>
      </rPr>
      <t xml:space="preserve">국회의원 임기는 몇 년입니까</t>
    </r>
    <r>
      <rPr>
        <sz val="10"/>
        <rFont val="Arial"/>
        <family val="0"/>
        <charset val="1"/>
      </rPr>
      <t xml:space="preserve">?</t>
    </r>
  </si>
  <si>
    <t xml:space="preserve">법을 만드는 곳</t>
  </si>
  <si>
    <r>
      <rPr>
        <sz val="10"/>
        <rFont val="Noto Sans CJK SC"/>
        <family val="2"/>
      </rPr>
      <t xml:space="preserve">국회의 회의가 열리는 건물은 어디에 있습니까</t>
    </r>
    <r>
      <rPr>
        <sz val="10"/>
        <rFont val="Arial"/>
        <family val="0"/>
        <charset val="1"/>
      </rPr>
      <t xml:space="preserve">?</t>
    </r>
  </si>
  <si>
    <t xml:space="preserve">여의도</t>
  </si>
  <si>
    <r>
      <rPr>
        <sz val="10"/>
        <rFont val="Noto Sans CJK SC"/>
        <family val="2"/>
      </rPr>
      <t xml:space="preserve">삼권 분립에 의하여 입법을 하는 국가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</si>
  <si>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독점 규제 및 공정 거래에 관한 사무 수행을 하는 곳은</t>
    </r>
    <r>
      <rPr>
        <sz val="10"/>
        <rFont val="Arial"/>
        <family val="0"/>
        <charset val="1"/>
      </rPr>
      <t xml:space="preserve">?</t>
    </r>
  </si>
  <si>
    <t xml:space="preserve">행정부 외 행정기관</t>
  </si>
  <si>
    <r>
      <rPr>
        <sz val="10"/>
        <rFont val="Noto Sans CJK SC"/>
        <family val="2"/>
      </rPr>
      <t xml:space="preserve">방송통신위원회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방송과 통신에 관한 규제와 이용자 보호 등의 업무 수행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공정거래위원회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독점 규제 및 공정 거래에 관한 사무 수행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국민권익위원회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고충민원의 처리와 이에 관한 불합리한 행정제도 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부패의 발생 예방 등 사무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국세청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내국세의 부과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감면 및 징수에 관한 사무를 관장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병무청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징집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소집 등 국민의 병역의무 이행과 관련한 국가의 병무행정 업무 담당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경찰청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치안에 관한 사무 관장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소방청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소방에 관한 사무 관장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질병관리청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방역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검역 등 감영병에 관한 사무 및 각종 질병에 관한 조사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연구에 관한 사무 관장</t>
    </r>
  </si>
  <si>
    <r>
      <rPr>
        <sz val="10"/>
        <rFont val="Noto Sans CJK SC"/>
        <family val="2"/>
      </rPr>
      <t xml:space="preserve">국회의 회의가 열리는 건물로 서울 여의도에 있는 것은 무엇입니까</t>
    </r>
    <r>
      <rPr>
        <sz val="10"/>
        <rFont val="Arial"/>
        <family val="0"/>
        <charset val="1"/>
      </rPr>
      <t xml:space="preserve">?</t>
    </r>
  </si>
  <si>
    <t xml:space="preserve">국회의사당</t>
  </si>
  <si>
    <r>
      <rPr>
        <sz val="10"/>
        <rFont val="Noto Sans CJK SC"/>
        <family val="2"/>
      </rPr>
      <t xml:space="preserve">국회의원들이 국정을 논의하는 곳으로 서울 여의도에 있는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</si>
  <si>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국회의원들이 모여 법을 재정하거나 나라의 중요한 일을 결정하는 국가기관은 무엇입니까</t>
    </r>
    <r>
      <rPr>
        <sz val="10"/>
        <rFont val="Arial"/>
        <family val="0"/>
        <charset val="1"/>
      </rPr>
      <t xml:space="preserve">?</t>
    </r>
  </si>
  <si>
    <t xml:space="preserve">국회</t>
  </si>
  <si>
    <r>
      <rPr>
        <sz val="10"/>
        <rFont val="Noto Sans CJK SC"/>
        <family val="2"/>
      </rPr>
      <t xml:space="preserve">국민의 선거로 선출된 국회의 구성원으로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년마다 한 번씩 선출되는 사람은 누구입니까</t>
    </r>
    <r>
      <rPr>
        <sz val="10"/>
        <rFont val="Arial"/>
        <family val="0"/>
        <charset val="1"/>
      </rPr>
      <t xml:space="preserve">?</t>
    </r>
  </si>
  <si>
    <t xml:space="preserve">국회의원</t>
  </si>
  <si>
    <r>
      <rPr>
        <sz val="10"/>
        <rFont val="Noto Sans CJK SC"/>
        <family val="2"/>
      </rPr>
      <t xml:space="preserve">주민참여제도란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</si>
  <si>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지역 문제를 해결하는 과정에 지역 주민들이 적극 참여하는 것은 매우 중요함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주민발의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필요한 조례를 만들거나 고치고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불필요한 조례는 없앨 것을 요구할 수 있는 제도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주민투표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지방자치단체의 중요한 정책을 주민의 투표로 결정하는 제도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주민참여 예산제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지방자치단체가 지역의 예산을 정하는 과정에서 주민의 의견을 듣고 반영할 수 있도록 하는 제도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주민소환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지역의 대표들이 맡은 바 책임을 다하지 않았을 때 주민들의 투표를 통하여 자리에서 물러나게 할 수 있는 제도</t>
    </r>
  </si>
  <si>
    <r>
      <rPr>
        <sz val="10"/>
        <rFont val="Noto Sans CJK SC"/>
        <family val="2"/>
      </rPr>
      <t xml:space="preserve">국민의 대표로서 국회를 이루는 구성원이며 국민의 선거에 의하여 선출되는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</si>
  <si>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국회가 행정부가 한 일을 감시하고 감독하는 등 국정 전반에 관하여 행하는 감사는 무엇입니까</t>
    </r>
    <r>
      <rPr>
        <sz val="10"/>
        <rFont val="Arial"/>
        <family val="0"/>
        <charset val="1"/>
      </rPr>
      <t xml:space="preserve">?</t>
    </r>
  </si>
  <si>
    <t xml:space="preserve">국정감사</t>
  </si>
  <si>
    <r>
      <rPr>
        <sz val="10"/>
        <rFont val="Noto Sans CJK SC"/>
        <family val="2"/>
      </rPr>
      <t xml:space="preserve">우리나라 정부가 어떻게 구성되어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</si>
  <si>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대통령과 행정부로 구분되어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행정부는 아래와 같습니다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기획재정부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교육부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과학기술정보통신부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외교부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통일부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법무부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국방부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행정안전부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문화체육관광부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농림축산식품부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산업통상자원부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보건복지부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환경부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고용노동부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여성가족부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국토교통부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해양수산부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중소벤처기업부</t>
    </r>
  </si>
  <si>
    <r>
      <rPr>
        <sz val="10"/>
        <rFont val="Noto Sans CJK SC"/>
        <family val="2"/>
      </rPr>
      <t xml:space="preserve">국회의원 선거에 입후보할 수 있는 나이는 몇세입니까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</si>
  <si>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세 이상</t>
    </r>
  </si>
  <si>
    <r>
      <rPr>
        <sz val="10"/>
        <rFont val="Noto Sans CJK SC"/>
        <family val="2"/>
      </rPr>
      <t xml:space="preserve">국가 단위에서 유권자 대부분 또는 전부가 선거권을 갖는 선거로서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국가의 국회의원을 구성하는 투표는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</si>
  <si>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국회의원 선거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</si>
  <si>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국가 권력 견제를 위해 입법부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행정부로 나눠져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중 우리나라의 법률을 만드는 기관인 국회가 속한 곳은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</si>
  <si>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대표인 국회의원들이 모여 나라의 중요한 일을 결정하고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정부의 일을 감독하며 우리 나라의 법률을 만드는 기관을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</si>
  <si>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생활에 필요한 법을 제정하거나 고치는 기관이며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년에 한 번씩 실시되는 국회의원 총선거를 통해 선출된 국회의원으로 구성된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</si>
  <si>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지방자치단체는 광역자치단체와 기초자치단체로 나뉘어져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자신이 거주하는 광역자치단체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기초자치단체 명칭을 말해봅시다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</si>
  <si>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광역자치단체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특별시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특별자치시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특별자치도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기초자치단체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</si>
  <si>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(74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</si>
  <si>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행정부</t>
  </si>
  <si>
    <r>
      <rPr>
        <sz val="10"/>
        <rFont val="Noto Sans CJK SC"/>
        <family val="2"/>
      </rPr>
      <t xml:space="preserve">우리나라 초대 대통령은 누구입니까</t>
    </r>
    <r>
      <rPr>
        <sz val="10"/>
        <rFont val="Arial"/>
        <family val="0"/>
        <charset val="1"/>
      </rPr>
      <t xml:space="preserve">?</t>
    </r>
  </si>
  <si>
    <t xml:space="preserve">이승만</t>
  </si>
  <si>
    <t xml:space="preserve">법대로 일하는 곳</t>
  </si>
  <si>
    <r>
      <rPr>
        <sz val="10"/>
        <rFont val="Noto Sans CJK SC"/>
        <family val="2"/>
      </rPr>
      <t xml:space="preserve">행정부의 최고 책임자이며 한국을 대표하는 지도자는 누구입니까</t>
    </r>
    <r>
      <rPr>
        <sz val="10"/>
        <rFont val="Arial"/>
        <family val="0"/>
        <charset val="1"/>
      </rPr>
      <t xml:space="preserve">?</t>
    </r>
  </si>
  <si>
    <t xml:space="preserve">대통령</t>
  </si>
  <si>
    <r>
      <rPr>
        <sz val="10"/>
        <rFont val="Noto Sans CJK SC"/>
        <family val="2"/>
      </rPr>
      <t xml:space="preserve">고용과 노동에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</si>
  <si>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고용노동부</t>
  </si>
  <si>
    <r>
      <rPr>
        <sz val="10"/>
        <rFont val="Noto Sans CJK SC"/>
        <family val="2"/>
      </rPr>
      <t xml:space="preserve">국방 및 안보와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</si>
  <si>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국방부</t>
  </si>
  <si>
    <r>
      <rPr>
        <sz val="10"/>
        <rFont val="Noto Sans CJK SC"/>
        <family val="2"/>
      </rPr>
      <t xml:space="preserve">대통령 선거에 입후보할 수 있는 나이는 몇 세입니까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</si>
  <si>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세 이상</t>
    </r>
  </si>
  <si>
    <r>
      <rPr>
        <sz val="10"/>
        <rFont val="Noto Sans CJK SC"/>
        <family val="2"/>
      </rPr>
      <t xml:space="preserve">대통령을 중심으로 나라의 살림을 맡아하는 기관을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</si>
  <si>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삼권 분립에 의하여 행정을 맡아 보는 국가기관을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</si>
  <si>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국가 원수이며 행정부의 최고 책임자인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</si>
  <si>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안전 편의와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</si>
  <si>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행정안전부</t>
  </si>
  <si>
    <r>
      <rPr>
        <sz val="10"/>
        <rFont val="Noto Sans CJK SC"/>
        <family val="2"/>
      </rPr>
      <t xml:space="preserve">농산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식량 등 관련 업무를 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</si>
  <si>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농림축산식품부</t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</si>
  <si>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(37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</si>
  <si>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대통령 임기가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년인데 임기 중 사망하면 누가 임시 대통령이 됩니까</t>
    </r>
    <r>
      <rPr>
        <sz val="10"/>
        <rFont val="Arial"/>
        <family val="0"/>
        <charset val="1"/>
      </rPr>
      <t xml:space="preserve">?</t>
    </r>
  </si>
  <si>
    <t xml:space="preserve">국무총리</t>
  </si>
  <si>
    <r>
      <rPr>
        <sz val="10"/>
        <rFont val="Noto Sans CJK SC"/>
        <family val="2"/>
      </rPr>
      <t xml:space="preserve">국민의 건강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복지와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</si>
  <si>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보건복지부</t>
  </si>
  <si>
    <r>
      <rPr>
        <sz val="10"/>
        <rFont val="Noto Sans CJK SC"/>
        <family val="2"/>
      </rPr>
      <t xml:space="preserve">통일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북한과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</si>
  <si>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통일부</t>
  </si>
  <si>
    <r>
      <rPr>
        <sz val="10"/>
        <rFont val="Noto Sans CJK SC"/>
        <family val="2"/>
      </rPr>
      <t xml:space="preserve">환경 보건 및 사회복지 등 관련된 일을 하는 행정부의 부처는 어디입니까</t>
    </r>
    <r>
      <rPr>
        <sz val="10"/>
        <rFont val="Arial"/>
        <family val="0"/>
        <charset val="1"/>
      </rPr>
      <t xml:space="preserve">?</t>
    </r>
  </si>
  <si>
    <t xml:space="preserve">환경부</t>
  </si>
  <si>
    <r>
      <rPr>
        <sz val="10"/>
        <rFont val="Noto Sans CJK SC"/>
        <family val="2"/>
      </rPr>
      <t xml:space="preserve">문화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예술 및 체육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관광 등 관련 업무를 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</si>
  <si>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문화체육관광부</t>
  </si>
  <si>
    <r>
      <rPr>
        <sz val="10"/>
        <rFont val="Noto Sans CJK SC"/>
        <family val="2"/>
      </rPr>
      <t xml:space="preserve">통일 및 남북 대화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교류 등 관련 업무를 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</si>
  <si>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국토 개발 및 교통물류체계 등 관련 업무를 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</si>
  <si>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국토교통부</t>
  </si>
  <si>
    <r>
      <rPr>
        <sz val="10"/>
        <rFont val="Noto Sans CJK SC"/>
        <family val="2"/>
      </rPr>
      <t xml:space="preserve">환경 보전 및 오염 방지 등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</si>
  <si>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여성 권익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청소년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가족과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</si>
  <si>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여성가족부</t>
  </si>
  <si>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에너지 등 관련 업무를 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</si>
  <si>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산업통상자원부</t>
  </si>
  <si>
    <r>
      <rPr>
        <sz val="10"/>
        <rFont val="Noto Sans CJK SC"/>
        <family val="2"/>
      </rPr>
      <t xml:space="preserve">국민 보건 및 사회 복지 등에 관련된 일을 하는 정부 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</si>
  <si>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인적자원개발 및 학교 교육 등에 관한 일을 하는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</si>
  <si>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교육부</t>
  </si>
  <si>
    <r>
      <rPr>
        <sz val="10"/>
        <rFont val="Noto Sans CJK SC"/>
        <family val="2"/>
      </rPr>
      <t xml:space="preserve">국가 간의 외교와 관련된 일을 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명칭은 무엇입니까</t>
    </r>
    <r>
      <rPr>
        <sz val="10"/>
        <rFont val="Arial"/>
        <family val="0"/>
        <charset val="1"/>
      </rPr>
      <t xml:space="preserve">?</t>
    </r>
  </si>
  <si>
    <t xml:space="preserve">외교부</t>
  </si>
  <si>
    <r>
      <rPr>
        <sz val="10"/>
        <rFont val="Noto Sans CJK SC"/>
        <family val="2"/>
      </rPr>
      <t xml:space="preserve">공무원 선발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 및 행정기관 조직 등의 관련 업무를 하는 행정부처는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</si>
  <si>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과학기술정책과 정보통신 기술 등 관련 업무를 하는 중앙 행정 기관은 무엇입니까</t>
    </r>
    <r>
      <rPr>
        <sz val="10"/>
        <rFont val="Arial"/>
        <family val="0"/>
        <charset val="1"/>
      </rPr>
      <t xml:space="preserve">?</t>
    </r>
  </si>
  <si>
    <t xml:space="preserve">과학기술 정보통신부</t>
  </si>
  <si>
    <r>
      <rPr>
        <sz val="10"/>
        <rFont val="Noto Sans CJK SC"/>
        <family val="2"/>
      </rPr>
      <t xml:space="preserve">형벌 집행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출입국관리 등의 법무행정을 맡는 정부 부처의 명칭은 무엇입니까</t>
    </r>
    <r>
      <rPr>
        <sz val="10"/>
        <rFont val="Arial"/>
        <family val="0"/>
        <charset val="1"/>
      </rPr>
      <t xml:space="preserve">?</t>
    </r>
  </si>
  <si>
    <t xml:space="preserve">법무부</t>
  </si>
  <si>
    <r>
      <rPr>
        <sz val="10"/>
        <rFont val="Noto Sans CJK SC"/>
        <family val="2"/>
      </rPr>
      <t xml:space="preserve">국가의 군사에 관한 사무를 관장하는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</si>
  <si>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서울 종로구에 있으며 대통령이 이곳에 머물면서 나랏일을 했던 곳을 무엇이라고 합니까</t>
    </r>
    <r>
      <rPr>
        <sz val="10"/>
        <rFont val="Arial"/>
        <family val="0"/>
        <charset val="1"/>
      </rPr>
      <t xml:space="preserve">?</t>
    </r>
  </si>
  <si>
    <t xml:space="preserve">청와대</t>
  </si>
  <si>
    <r>
      <rPr>
        <sz val="10"/>
        <rFont val="Noto Sans CJK SC"/>
        <family val="2"/>
      </rPr>
      <t xml:space="preserve">서울로 종로구에 있으며 대통령이 이곳에 머물면서 나랏일을 하는 곳을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</si>
  <si>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범죄를 예방하거나 범죄자를 처벌하고 국민 모두의 인권 보호를 받을 수 있도록 노력하는 정부부처의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</si>
  <si>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취업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일자리와 관련된 일을 하는 정부부처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</si>
  <si>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일자리 등의 고용노동에 관련된 일을 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</si>
  <si>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 보건에 관한 사무와 사회 복지 증진에 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</si>
  <si>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국방에 관련된 군정 및 군령과 군사에 관한 사무를 관장하는 정부 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</si>
  <si>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대통령의 집무실 및 관저로 사용되는 시설로 푸른색 지붕을 가진 건물이라는 뜻을 가지고 있는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</si>
  <si>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한국에서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년마다 국민들의 선거에 의해 선출되며 행정부와 국가를 대표하는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</si>
  <si>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외국과의 무역이나 조약 체결 등의 일을 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</si>
  <si>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대통령과 국무총리의 지휘 감독을 받는 행정 각부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법무부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외교부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장을 무엇이라고 합니까</t>
    </r>
    <r>
      <rPr>
        <sz val="10"/>
        <rFont val="Arial"/>
        <family val="0"/>
        <charset val="1"/>
      </rPr>
      <t xml:space="preserve">?</t>
    </r>
  </si>
  <si>
    <t xml:space="preserve">장관</t>
  </si>
  <si>
    <r>
      <rPr>
        <sz val="10"/>
        <rFont val="Noto Sans CJK SC"/>
        <family val="2"/>
      </rPr>
      <t xml:space="preserve">회사에서 일을 하다가 억울한 일을 당하거나 월급을 못 받으면 어디에 가서 도움을 받을 수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</si>
  <si>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범죄를 예방하거나 범죄자를 처벌하고 인권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법질서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이민 정책에 관한 일을 하는 정부 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</si>
  <si>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검찰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인권옹호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출입국관리와 그 밖에 업무에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</si>
  <si>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나라의 경제정책과 예산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세제 등에 관련한 일을 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명칭은 무엇입니까</t>
    </r>
    <r>
      <rPr>
        <sz val="10"/>
        <rFont val="Arial"/>
        <family val="0"/>
        <charset val="1"/>
      </rPr>
      <t xml:space="preserve">?</t>
    </r>
  </si>
  <si>
    <t xml:space="preserve">기획재정부</t>
  </si>
  <si>
    <r>
      <rPr>
        <sz val="10"/>
        <rFont val="Noto Sans CJK SC"/>
        <family val="2"/>
      </rPr>
      <t xml:space="preserve">행정부의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인자로서 대통령을 도와 행정부의 여러 정책을 종합적으로 관리하는 역할을 맡는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</si>
  <si>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국회가 만든 법을 기반으로 하여 국민에게 필요한 정책을 직접 집행하면서 나라의 살림을 이끌어가는 곳을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</si>
  <si>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정부혁신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조직관리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전자정부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지방행정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국가비상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관리 등에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</si>
  <si>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중앙 행정 기관의 하나로 검찰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인권 옹호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출입국 관리 법무에 관한 사무를 맡아 보는 정부 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</si>
  <si>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방역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검역등 감염병에 관한 사무 및 각종 질병에 관한 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연구에 관한 사무를 관장하는 보건복지부 소속기관은 무엇입니까</t>
    </r>
    <r>
      <rPr>
        <sz val="10"/>
        <rFont val="Arial"/>
        <family val="0"/>
        <charset val="1"/>
      </rPr>
      <t xml:space="preserve">?</t>
    </r>
  </si>
  <si>
    <t xml:space="preserve">질병관리청</t>
  </si>
  <si>
    <r>
      <rPr>
        <sz val="10"/>
        <rFont val="Noto Sans CJK SC"/>
        <family val="2"/>
      </rPr>
      <t xml:space="preserve">대통령을 보좌하여 함께 여러 가지 일을 처리하며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대통령의 명을 받아 행정 각부를 통괄하는 대통령의 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위의 보좌 기관은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</si>
  <si>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외부의 군사적 위협과 침략으로부터 국가를 보위하고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평화통일을 뒷받침해 지역 안정과 세계 평화에 기여하는 정부부처의 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</si>
  <si>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국민의 해외여행 업무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재외국민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외교와 국제간 조약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통상업무 제외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담당하는 정부 부처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행정부의 부처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명칭은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</si>
  <si>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(78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</si>
  <si>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행정 일반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 조직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지방자치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투표사무 지원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소방 등 사회 안전에 대한 사무등을 관장하는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</si>
  <si>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 권력 견제를 위해 입법부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행정부로 나눠져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중 국회가 만든 법을 기반으로 하여 국민에게 필요한 정책을 직접 집행기관은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</si>
  <si>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</si>
  <si>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과거 대한민국 대통령의 집무실 및 관저로 사용되었던 시설로 푸른색 지붕을 가진 건물이라는 뜻을 가지고 있는 것은 무엇입니까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대통령이 일하는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</si>
  <si>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통일 및 남북 대화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협력에 관한 종합적 기본정책의 수립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이에 관한 기획의 종합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통일 교육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기타 통일에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</si>
  <si>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</si>
  <si>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중소기업 정책의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중소기업의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벤처기업의 지원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중소기업 간 협력 및 소상공인에 대한 보호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지원에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</si>
  <si>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중소벤처기업부</t>
  </si>
  <si>
    <r>
      <rPr>
        <sz val="10"/>
        <rFont val="Noto Sans CJK SC"/>
        <family val="2"/>
      </rPr>
      <t xml:space="preserve">해양정책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어촌개발 및 수산물 유통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항만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해양환경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해양조사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해양수산자원개발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해양과학기술연구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개발 및 해양안전심판에 관한 사무를 관장하는 중앙행정기관은 무엇입니까</t>
    </r>
    <r>
      <rPr>
        <sz val="10"/>
        <rFont val="Arial"/>
        <family val="0"/>
        <charset val="1"/>
      </rPr>
      <t xml:space="preserve">?</t>
    </r>
  </si>
  <si>
    <t xml:space="preserve">해양수산부</t>
  </si>
  <si>
    <r>
      <rPr>
        <sz val="10"/>
        <rFont val="Noto Sans CJK SC"/>
        <family val="2"/>
      </rPr>
      <t xml:space="preserve">국민 보건에 관한 사무와 사회 복지 증진에 관한 사무를 관장하는 중앙행정기관으로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보건의료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공공보건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건강보험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보건산업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사회서비스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연금 등에 관한 업무를 수행하는 중앙행정기관은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</si>
  <si>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(130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</si>
  <si>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사법부</t>
  </si>
  <si>
    <r>
      <rPr>
        <sz val="10"/>
        <rFont val="Noto Sans CJK SC"/>
        <family val="2"/>
      </rPr>
      <t xml:space="preserve">검찰권을 행사하는 사법관을 무엇이라고 합니까</t>
    </r>
    <r>
      <rPr>
        <sz val="10"/>
        <rFont val="Arial"/>
        <family val="0"/>
        <charset val="1"/>
      </rPr>
      <t xml:space="preserve">?</t>
    </r>
  </si>
  <si>
    <t xml:space="preserve">검사</t>
  </si>
  <si>
    <t xml:space="preserve">옳고 그름을 가리는 곳</t>
  </si>
  <si>
    <r>
      <rPr>
        <sz val="10"/>
        <rFont val="Noto Sans CJK SC"/>
        <family val="2"/>
      </rPr>
      <t xml:space="preserve">피고나 원고를 변론하는 사람을 무엇이라고 합니까</t>
    </r>
    <r>
      <rPr>
        <sz val="10"/>
        <rFont val="Arial"/>
        <family val="0"/>
        <charset val="1"/>
      </rPr>
      <t xml:space="preserve">?</t>
    </r>
  </si>
  <si>
    <t xml:space="preserve">변호사</t>
  </si>
  <si>
    <r>
      <rPr>
        <sz val="10"/>
        <rFont val="Noto Sans CJK SC"/>
        <family val="2"/>
      </rPr>
      <t xml:space="preserve">헌법에 의하여 사법권을 행사하는 국가기관은 무엇입니까</t>
    </r>
    <r>
      <rPr>
        <sz val="10"/>
        <rFont val="Arial"/>
        <family val="0"/>
        <charset val="1"/>
      </rPr>
      <t xml:space="preserve">?</t>
    </r>
  </si>
  <si>
    <t xml:space="preserve">법원</t>
  </si>
  <si>
    <r>
      <rPr>
        <sz val="10"/>
        <rFont val="Noto Sans CJK SC"/>
        <family val="2"/>
      </rPr>
      <t xml:space="preserve">재판을 받을 수 있는 우리나라의 최고법원은 무엇입니까</t>
    </r>
    <r>
      <rPr>
        <sz val="10"/>
        <rFont val="Arial"/>
        <family val="0"/>
        <charset val="1"/>
      </rPr>
      <t xml:space="preserve">?</t>
    </r>
  </si>
  <si>
    <t xml:space="preserve">대법원</t>
  </si>
  <si>
    <r>
      <rPr>
        <sz val="10"/>
        <rFont val="Noto Sans CJK SC"/>
        <family val="2"/>
      </rPr>
      <t xml:space="preserve">헌법이란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</si>
  <si>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통치조직과 통치 작용의 기본원리 및 국민의 기본권을 보장하는 근본 규범입니다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헌법에는 국민의 권리와 의무가 담겨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</si>
  <si>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</si>
  <si>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의뢰인을 대신해 법률행위를 하는 사람을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</si>
  <si>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최고 법원으로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심을 담당하는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</si>
  <si>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자유주의와 민주주의가 결합된 정치 원리를 무엇이라고 합니까</t>
    </r>
    <r>
      <rPr>
        <sz val="10"/>
        <rFont val="Arial"/>
        <family val="0"/>
        <charset val="1"/>
      </rPr>
      <t xml:space="preserve">?</t>
    </r>
  </si>
  <si>
    <t xml:space="preserve">자유 민주주의</t>
  </si>
  <si>
    <r>
      <rPr>
        <sz val="10"/>
        <rFont val="Noto Sans CJK SC"/>
        <family val="2"/>
      </rPr>
      <t xml:space="preserve">삼권 분립에 의하여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사법을 맡아 보는 국가기관은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</si>
  <si>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</si>
  <si>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심제도는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</si>
  <si>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사건에 대해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심판 받을 수 있는 제도입니다</t>
    </r>
  </si>
  <si>
    <r>
      <rPr>
        <sz val="10"/>
        <rFont val="Noto Sans CJK SC"/>
        <family val="2"/>
      </rPr>
      <t xml:space="preserve">법원을 대표하여 재판을 담당하고 판결을 내리는 사람은 누구입니까</t>
    </r>
    <r>
      <rPr>
        <sz val="10"/>
        <rFont val="Arial"/>
        <family val="0"/>
        <charset val="1"/>
      </rPr>
      <t xml:space="preserve">?</t>
    </r>
  </si>
  <si>
    <t xml:space="preserve">판사</t>
  </si>
  <si>
    <r>
      <rPr>
        <sz val="10"/>
        <rFont val="Noto Sans CJK SC"/>
        <family val="2"/>
      </rPr>
      <t xml:space="preserve">형사 소송에서 피의자나 피고인을 위해 변호하는 사람을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</si>
  <si>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 국적을 받은 후 개명하기를 원할 경우 개명허가 신청은 어디에 합니까</t>
    </r>
    <r>
      <rPr>
        <sz val="10"/>
        <rFont val="Arial"/>
        <family val="0"/>
        <charset val="1"/>
      </rPr>
      <t xml:space="preserve">?</t>
    </r>
  </si>
  <si>
    <t xml:space="preserve">가정법원</t>
  </si>
  <si>
    <r>
      <rPr>
        <sz val="10"/>
        <rFont val="Noto Sans CJK SC"/>
        <family val="2"/>
      </rPr>
      <t xml:space="preserve">헌법에 관한 분쟁이나 의의를 사법적 절차에 따라 해결하는 기관은 어디입니까</t>
    </r>
    <r>
      <rPr>
        <sz val="10"/>
        <rFont val="Arial"/>
        <family val="0"/>
        <charset val="1"/>
      </rPr>
      <t xml:space="preserve">?</t>
    </r>
  </si>
  <si>
    <t xml:space="preserve">헌법재판소</t>
  </si>
  <si>
    <r>
      <rPr>
        <sz val="10"/>
        <rFont val="Noto Sans CJK SC"/>
        <family val="2"/>
      </rPr>
      <t xml:space="preserve">헌법재판관은 몇명입니까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</si>
  <si>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명입니다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</si>
  <si>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심 재판을 담당하는 곳이며 마지막으로 판결을 내리는 최고 법원은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</si>
  <si>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헌법을 위반한 경우에 소송 절차에 따라 심판하기 위해 설치한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</si>
  <si>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법률 정책이 헌법과 헌법정신에 비추어 맞는지 틀리는지를 판단하는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</si>
  <si>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가족이나 친척 관계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소년 문제 등에 관한 재판을 전문적으로 담당하는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</si>
  <si>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민주주의의 원리는 무엇인가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</si>
  <si>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민주주의는 타인의 인격과 의사를 존중하면서 합의에 의해 다양한 사회문제를 해결하고 모든 사람들이 차별 받지 않고 인간답게 살 수 있는 형태를 지향하는 원리라고 할 수 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국민의 의사 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문제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합의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해결</t>
    </r>
  </si>
  <si>
    <r>
      <rPr>
        <sz val="10"/>
        <rFont val="Noto Sans CJK SC"/>
        <family val="2"/>
      </rPr>
      <t xml:space="preserve">국민이 국가에 내는 모든 세금이 어디에 잘 쓰이고 있는지를 관리하는 기관은 어디입니까</t>
    </r>
    <r>
      <rPr>
        <sz val="10"/>
        <rFont val="Arial"/>
        <family val="0"/>
        <charset val="1"/>
      </rPr>
      <t xml:space="preserve">?</t>
    </r>
  </si>
  <si>
    <t xml:space="preserve">감사원</t>
  </si>
  <si>
    <r>
      <rPr>
        <sz val="10"/>
        <rFont val="Noto Sans CJK SC"/>
        <family val="2"/>
      </rPr>
      <t xml:space="preserve">법원에서 법적으로 문제가 되는 사건에 대하여 법에 따라 판단하는 일을 무엇이라고 합니까</t>
    </r>
    <r>
      <rPr>
        <sz val="10"/>
        <rFont val="Arial"/>
        <family val="0"/>
        <charset val="1"/>
      </rPr>
      <t xml:space="preserve">?</t>
    </r>
  </si>
  <si>
    <t xml:space="preserve">재판</t>
  </si>
  <si>
    <r>
      <rPr>
        <sz val="10"/>
        <rFont val="Noto Sans CJK SC"/>
        <family val="2"/>
      </rPr>
      <t xml:space="preserve">국가 공권력이 헌법을 준수하도록 하고 국민의 기본권을 보호해주도록 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</si>
  <si>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통치체제와 기본권 보장에 관한 근본 원칙을 정한 우리나라의 최고의 법은 무엇입니까</t>
    </r>
    <r>
      <rPr>
        <sz val="10"/>
        <rFont val="Arial"/>
        <family val="0"/>
        <charset val="1"/>
      </rPr>
      <t xml:space="preserve">?</t>
    </r>
  </si>
  <si>
    <t xml:space="preserve">헌법</t>
  </si>
  <si>
    <r>
      <rPr>
        <sz val="10"/>
        <rFont val="Noto Sans CJK SC"/>
        <family val="2"/>
      </rPr>
      <t xml:space="preserve">자유 민주주의가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</si>
  <si>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자유주의와 민주주의가 결합된 형태를 말합니다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인간의 존엄성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개인의 자유와 인권을 보장하면서 모두가 인간다운 삶을 영위하는 가운데 자아를 실현하도록 하는 이념입니다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</si>
  <si>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나라의 안보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정보를 담당 → 간첩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테러 대응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대북 정보 수집을 하는 곳은 어디입니까</t>
    </r>
    <r>
      <rPr>
        <sz val="10"/>
        <rFont val="Arial"/>
        <family val="0"/>
        <charset val="1"/>
      </rPr>
      <t xml:space="preserve">?</t>
    </r>
  </si>
  <si>
    <t xml:space="preserve">국정원</t>
  </si>
  <si>
    <r>
      <rPr>
        <sz val="10"/>
        <rFont val="Noto Sans CJK SC"/>
        <family val="2"/>
      </rPr>
      <t xml:space="preserve">국가의 통치조직과 운영원리를 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국민의 기본권을 보장하는 최고기본법을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</si>
  <si>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헌법을 수호하고 국민의 기본권을 보호하며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헌법과 관련된 분쟁을 다루는 특별재판소는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</si>
  <si>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수원에 설치되어 있으며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심 재판을 담당하는 곳은 어디입니까</t>
    </r>
    <r>
      <rPr>
        <sz val="10"/>
        <rFont val="Arial"/>
        <family val="0"/>
        <charset val="1"/>
      </rPr>
      <t xml:space="preserve">?</t>
    </r>
  </si>
  <si>
    <t xml:space="preserve">고등법원</t>
  </si>
  <si>
    <r>
      <rPr>
        <sz val="10"/>
        <rFont val="Noto Sans CJK SC"/>
        <family val="2"/>
      </rPr>
      <t xml:space="preserve">대법원은 어디에 위치합니까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</si>
  <si>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서울 서초구에 위치합니다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</si>
  <si>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최고의 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국민의 권리와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 기관의 조직 등에 대해 정해 높은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</si>
  <si>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통치체제에 대한 근본 원칙으로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국민의 자유와 권리를 정한 우리 나라 최고 기본법은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</si>
  <si>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 통치의 기본 방침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국민의 권리와 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통치 기구의 조직 따위를 정하는 최고의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</si>
  <si>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상속 따위의 가정에 관한 사건과 소년에 관련 사건을 처리할 목적으로 설치된 법원으로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</si>
  <si>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헌법의 기본원리를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</si>
  <si>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 주권 주의</t>
    </r>
    <r>
      <rPr>
        <sz val="10"/>
        <rFont val="Arial"/>
        <family val="0"/>
        <charset val="1"/>
      </rPr>
      <t xml:space="preserve">, 
</t>
    </r>
    <r>
      <rPr>
        <sz val="10"/>
        <rFont val="Noto Sans CJK SC"/>
        <family val="2"/>
      </rPr>
      <t xml:space="preserve">자유 민주 주의</t>
    </r>
    <r>
      <rPr>
        <sz val="10"/>
        <rFont val="Arial"/>
        <family val="0"/>
        <charset val="1"/>
      </rPr>
      <t xml:space="preserve">, 
</t>
    </r>
    <r>
      <rPr>
        <sz val="10"/>
        <rFont val="Noto Sans CJK SC"/>
        <family val="2"/>
      </rPr>
      <t xml:space="preserve">복지국가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사회국가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원리</t>
    </r>
    <r>
      <rPr>
        <sz val="10"/>
        <rFont val="Arial"/>
        <family val="0"/>
        <charset val="1"/>
      </rPr>
      <t xml:space="preserve">, 
</t>
    </r>
    <r>
      <rPr>
        <sz val="10"/>
        <rFont val="Noto Sans CJK SC"/>
        <family val="2"/>
      </rPr>
      <t xml:space="preserve">국제 평화 주의</t>
    </r>
    <r>
      <rPr>
        <sz val="10"/>
        <rFont val="Arial"/>
        <family val="0"/>
        <charset val="1"/>
      </rPr>
      <t xml:space="preserve">, 
</t>
    </r>
    <r>
      <rPr>
        <sz val="10"/>
        <rFont val="Noto Sans CJK SC"/>
        <family val="2"/>
      </rPr>
      <t xml:space="preserve">평화 통일 지향</t>
    </r>
    <r>
      <rPr>
        <sz val="10"/>
        <rFont val="Arial"/>
        <family val="0"/>
        <charset val="1"/>
      </rPr>
      <t xml:space="preserve">, 
</t>
    </r>
    <r>
      <rPr>
        <sz val="10"/>
        <rFont val="Noto Sans CJK SC"/>
        <family val="2"/>
      </rPr>
      <t xml:space="preserve">문화 국가의 원리</t>
    </r>
  </si>
  <si>
    <r>
      <rPr>
        <sz val="10"/>
        <rFont val="Noto Sans CJK SC"/>
        <family val="2"/>
      </rPr>
      <t xml:space="preserve">행정기관과 공무원의 직무에 대한 감찰을 목적으로 설립된 대통령 직속의 국가 최고 감사기관은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</si>
  <si>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통치조직과 통치 작용의 기본원리 및 국민의 기본권을 보장하는 근본 규범을 말하는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</si>
  <si>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서울 및 각 광역시와 도청소재지를 비롯하여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개가 설치되어 있으며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심 재판을 담당하는 곳은 어디입니까</t>
    </r>
    <r>
      <rPr>
        <sz val="10"/>
        <rFont val="Arial"/>
        <family val="0"/>
        <charset val="1"/>
      </rPr>
      <t xml:space="preserve">?</t>
    </r>
  </si>
  <si>
    <t xml:space="preserve">지방법원</t>
  </si>
  <si>
    <r>
      <rPr>
        <sz val="10"/>
        <rFont val="Noto Sans CJK SC"/>
        <family val="2"/>
      </rPr>
      <t xml:space="preserve">우리나라는 개명이 법적으로 허용되는데 살면서 이름을 바꾸고 싶으면 개명 신청서를 작성하여 어디에 신청합니까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</si>
  <si>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헌법재판소의 역할은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</si>
  <si>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헌법에 관련된 분쟁을 다루는 특별재판소입니다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헌법을 수호하고 국민의 기본권을 보호합니다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</si>
  <si>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헌법 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항을 말해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</si>
  <si>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대한민국은 민주공화국이다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</si>
  <si>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헌법 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항을 말해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</si>
  <si>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대한민국의 주권은 국민에게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권력은 국민으로부터 나온다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</si>
  <si>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국제 평화 유지 원리는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</si>
  <si>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국제 평화 유지에 노력하고 침략 전쟁을 부인하며 평화를 사랑하는 것이다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</si>
  <si>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헌법은 무엇을 토대로 만들어졌습니까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</si>
  <si>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운동으로 건립된 대한민국 임시정부의 법통을 계승하였고 헌법 역시 이를 토대로 만들어졌습니다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</si>
  <si>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복지국가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사회국가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원리는 무엇인가요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</si>
  <si>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국민의 생활 능력을 강화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적절한 생활 수준을 유지할 의무가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소년 소녀 가장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노인에게 최소한의 생활을 보장할 의무가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</si>
  <si>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우리나라의 법원은 어떻게 이루어져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</si>
  <si>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대법원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고등법원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지방법원</t>
    </r>
  </si>
  <si>
    <r>
      <rPr>
        <sz val="10"/>
        <rFont val="Noto Sans CJK SC"/>
        <family val="2"/>
      </rPr>
      <t xml:space="preserve">한 사건에 대해 세 번 심판 받을 수 있는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</si>
  <si>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심제도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삼심제도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</si>
  <si>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대법원 및 대법원이 관할하는 모든 기관을 통틀어 이르는 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</si>
  <si>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공정한 재판을 위하여 한 사건에 대해 세 번의 심판을 받을 수 있는 심급제도를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</si>
  <si>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사람들 사이에 다툼이 있거나 법을 어긴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법에 따라 판결을 내려 사회 질서를 유지하는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</si>
  <si>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(60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</si>
  <si>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피고인의 유죄를 주장하고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이를 증명하기 위하여 필요한 증거를 제출하는 국가기관의 대리인을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</si>
  <si>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 직속의 국가최고 감사기관으로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대통령 소속하에 있는 행정 각부에 대한 회계검사와 직무감찰을 주된 임무로하는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</si>
  <si>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피고인을 대리하여 피고인의 무죄를 주장하거나 피고인에게 유리한 증거를 제출하여 피고인을 방어하는 역할을 담당하는 사람을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</si>
  <si>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세입 세출의 결산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 및 법률이 정한 단체의 회계 검사와 행정기관 및 공무원의 직무에 관한 감찰을 하기 위하여 설립된 헌법기관은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</si>
  <si>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국가의 공권력 행사 또는 불행사로 인하여 헌법상 보장된 기본권을 침해 받는 경우 국민이 헌법재판소에 이에 대한 구제를 청구하는 것을 무엇이라고 합니까</t>
    </r>
    <r>
      <rPr>
        <sz val="10"/>
        <rFont val="Arial"/>
        <family val="0"/>
        <charset val="1"/>
      </rPr>
      <t xml:space="preserve">?</t>
    </r>
  </si>
  <si>
    <t xml:space="preserve">헌법소원</t>
  </si>
  <si>
    <r>
      <rPr>
        <sz val="10"/>
        <rFont val="Noto Sans CJK SC"/>
        <family val="2"/>
      </rPr>
      <t xml:space="preserve">대통령이 국회의 동의를 얻어 임명하며 임기는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년으로 중임할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자격은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년 이상의 법조 경력을 가진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세 이상인 사람으로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사람은 누구입니까</t>
    </r>
    <r>
      <rPr>
        <sz val="10"/>
        <rFont val="Arial"/>
        <family val="0"/>
        <charset val="1"/>
      </rPr>
      <t xml:space="preserve">?</t>
    </r>
  </si>
  <si>
    <t xml:space="preserve">대법원장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</si>
  <si>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</si>
  <si>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국회의 동의를 얻어 대통령이 임명하여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임기는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년이고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중임할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자격은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년 이상의 법조 경력을 가진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세 이상인 자로 하고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사람은 누구입니까</t>
    </r>
    <r>
      <rPr>
        <sz val="10"/>
        <rFont val="Arial"/>
        <family val="0"/>
        <charset val="1"/>
      </rPr>
      <t xml:space="preserve">?</t>
    </r>
  </si>
  <si>
    <t xml:space="preserve">헌법재판관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</si>
  <si>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</si>
  <si>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국가 권련 견제를 위해 입법부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행정부로 나눠져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중 사람들 사이에 다툼이 있거나 법을 어긴 경우에 법에 따라 재판을 하고 판결을 내려 사회질서를 유지하는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</si>
  <si>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</si>
  <si>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범죄 사건을 수사하고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범죄 여부를 판단하기 위해 범죄의 의심을 받는 사람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피의자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에게 법원의 심판을 구하는 일을 담당하는 사람을 무엇이라고 합니까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피의자를 법원에 기소하는 일을 담당하는 사람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</si>
  <si>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</si>
  <si>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국가기관 사이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국가기관과 국민 사이에서 의견의 차이와 분쟁이 발생할 때 이러한 다툼을 해결하며 국가 공권력 작용이 헌법을 준수토록 하고 헌법을 수호하고 국민의 기본권을 보호해 주는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</si>
  <si>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헌법에 관한 분쟁을 담당하는 헌번기관으로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국회에서 만든 법률이 헌법에 맞는지 심사하고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대통령이나 장관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법관 등의 고위 공무원이 큰 잘못을 저질러 국회가 파면을요구할 때 그것을 심판하는 일도하는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</si>
  <si>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(127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</si>
  <si>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여러 가지 법률이 헌법에 어긋나는지 법률의 위헌 여부를 살펴보는 기관으로 헌법의 최종적 해석을 하고 그에 따른 판단을 하며 정당의 해산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탄핵 재판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대통령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대법원장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대법관의 선거에 관한 소송 등의 업무를 담당하는 기관은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</si>
  <si>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법원에서의 잘못된 판견을 줄이기 위하여 같은 사건에 대해 세 번 까지 재판 받을 수 있도록 한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</si>
  <si>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</si>
  <si>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t xml:space="preserve">지방자치제도</t>
  </si>
  <si>
    <r>
      <rPr>
        <sz val="10"/>
        <rFont val="Noto Sans CJK SC"/>
        <family val="2"/>
      </rPr>
      <t xml:space="preserve">우리나라의 특별시를 말해보세요</t>
    </r>
    <r>
      <rPr>
        <sz val="10"/>
        <rFont val="Arial"/>
        <family val="0"/>
        <charset val="1"/>
      </rPr>
      <t xml:space="preserve">.</t>
    </r>
  </si>
  <si>
    <t xml:space="preserve">서울특별시</t>
  </si>
  <si>
    <t xml:space="preserve">우리 동네를 우리가</t>
  </si>
  <si>
    <r>
      <rPr>
        <sz val="10"/>
        <rFont val="Noto Sans CJK SC"/>
        <family val="2"/>
      </rPr>
      <t xml:space="preserve">우리나라의 특별자치시를 말해보세요</t>
    </r>
    <r>
      <rPr>
        <sz val="10"/>
        <rFont val="Arial"/>
        <family val="0"/>
        <charset val="1"/>
      </rPr>
      <t xml:space="preserve">.</t>
    </r>
  </si>
  <si>
    <t xml:space="preserve">세종특별자치시</t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</si>
  <si>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(19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</si>
  <si>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국가나 지방공공 단체의 업무를 담당하는 사람은 누구입니까</t>
    </r>
    <r>
      <rPr>
        <sz val="10"/>
        <rFont val="Arial"/>
        <family val="0"/>
        <charset val="1"/>
      </rPr>
      <t xml:space="preserve">?</t>
    </r>
  </si>
  <si>
    <t xml:space="preserve">공무원</t>
  </si>
  <si>
    <r>
      <rPr>
        <sz val="10"/>
        <rFont val="Noto Sans CJK SC"/>
        <family val="2"/>
      </rPr>
      <t xml:space="preserve">대한민국 국민으로서 국내에 주소를 두고 거주하는 주민임을 증명할 수 있도록 발행된 증명서는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</si>
  <si>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광역시를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</si>
  <si>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인천광역시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대구광역시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대전광역시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울산광역시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광주광역시</t>
    </r>
  </si>
  <si>
    <r>
      <rPr>
        <sz val="10"/>
        <rFont val="Noto Sans CJK SC"/>
        <family val="2"/>
      </rPr>
      <t xml:space="preserve">우리나라의 특례시를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</si>
  <si>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수원특례시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창원특례시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고양특례시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용인특례시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화성특례시</t>
    </r>
  </si>
  <si>
    <r>
      <rPr>
        <sz val="10"/>
        <rFont val="Noto Sans CJK SC"/>
        <family val="2"/>
      </rPr>
      <t xml:space="preserve">우리나라의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개의 도를 말해보세요</t>
    </r>
  </si>
  <si>
    <r>
      <rPr>
        <sz val="10"/>
        <rFont val="Noto Sans CJK SC"/>
        <family val="2"/>
      </rPr>
      <t xml:space="preserve">경기도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충청북도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충청남도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전라남도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경상남도</t>
    </r>
  </si>
  <si>
    <r>
      <rPr>
        <sz val="10"/>
        <rFont val="Noto Sans CJK SC"/>
        <family val="2"/>
      </rPr>
      <t xml:space="preserve">우리나라의 특별자치도를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</si>
  <si>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제주특별자치도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강원특별자치도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전북특별자치도</t>
    </r>
    <r>
      <rPr>
        <sz val="10"/>
        <rFont val="Arial"/>
        <family val="0"/>
        <charset val="1"/>
      </rPr>
      <t xml:space="preserve">(2024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일 출범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</si>
  <si>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우리나라의 광역시는 몇 개가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</si>
  <si>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 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부산광역시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인천광역시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대구광역시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대전광역시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울산광역시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광주광역시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</si>
  <si>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우리나라의 특례시는 몇 개가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</si>
  <si>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</si>
  <si>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지방자치단체가 그 지방의 행정사무를 자율적으로 처리하는 활동 과정을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</si>
  <si>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지역 주민이 스스로 자기 지역의 대표자를 뽑아서 지역의 정치를 담당하도록 하는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</si>
  <si>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외국을 여행하는 사람의 국적 및 신분을 증명하는 국제 신분증으로 구청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도청에서 발급 받는 것은 무엇입니까</t>
    </r>
    <r>
      <rPr>
        <sz val="10"/>
        <rFont val="Arial"/>
        <family val="0"/>
        <charset val="1"/>
      </rPr>
      <t xml:space="preserve">?</t>
    </r>
  </si>
  <si>
    <t xml:space="preserve">여권</t>
  </si>
  <si>
    <r>
      <rPr>
        <sz val="10"/>
        <rFont val="Noto Sans CJK SC"/>
        <family val="2"/>
      </rPr>
      <t xml:space="preserve">대한민국 국민으로서 국내에 주소를 두고 거주하는 주민임을 증명하는 증명서로 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세 이상의 대한민국 국민은 반드시 신청해야 하는 것은 무엇입니까</t>
    </r>
    <r>
      <rPr>
        <sz val="10"/>
        <rFont val="Arial"/>
        <family val="0"/>
        <charset val="1"/>
      </rPr>
      <t xml:space="preserve">?</t>
    </r>
  </si>
  <si>
    <t xml:space="preserve">주민등록증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</si>
  <si>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(82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</si>
  <si>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우리나라를 대표해서 외국에 나가 그 나라와 우리나라 사이에 있는 여러 가지 과제들을 처리하고 외국에 나가 있는 우리나라 사람들을 보호하는 역할을 담당하는 사람은 누구입니까</t>
    </r>
    <r>
      <rPr>
        <sz val="10"/>
        <rFont val="Arial"/>
        <family val="0"/>
        <charset val="1"/>
      </rPr>
      <t xml:space="preserve">?</t>
    </r>
  </si>
  <si>
    <t xml:space="preserve">외교관</t>
  </si>
  <si>
    <t xml:space="preserve">공공기관</t>
  </si>
  <si>
    <r>
      <rPr>
        <sz val="10"/>
        <rFont val="Noto Sans CJK SC"/>
        <family val="2"/>
      </rPr>
      <t xml:space="preserve">민원을 발급하는 온라인 사이트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</si>
  <si>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민원</t>
    </r>
    <r>
      <rPr>
        <sz val="10"/>
        <rFont val="Arial"/>
        <family val="0"/>
        <charset val="1"/>
      </rPr>
      <t xml:space="preserve">24</t>
    </r>
  </si>
  <si>
    <t xml:space="preserve">나라가 두는 곳들</t>
  </si>
  <si>
    <t xml:space="preserve">대한민국</t>
  </si>
  <si>
    <t xml:space="preserve">국가</t>
  </si>
  <si>
    <r>
      <rPr>
        <sz val="10"/>
        <rFont val="Noto Sans CJK SC"/>
        <family val="2"/>
      </rPr>
      <t xml:space="preserve">우리나라의 국가는 무엇입니까</t>
    </r>
    <r>
      <rPr>
        <sz val="10"/>
        <rFont val="Arial"/>
        <family val="0"/>
        <charset val="1"/>
      </rPr>
      <t xml:space="preserve">?</t>
    </r>
  </si>
  <si>
    <t xml:space="preserve">애국가</t>
  </si>
  <si>
    <t xml:space="preserve">나라의 이름과 노래</t>
  </si>
  <si>
    <r>
      <rPr>
        <sz val="10"/>
        <rFont val="Noto Sans CJK SC"/>
        <family val="2"/>
      </rPr>
      <t xml:space="preserve">애국가를 작곡한 사람은 누구입니까</t>
    </r>
    <r>
      <rPr>
        <sz val="10"/>
        <rFont val="Arial"/>
        <family val="0"/>
        <charset val="1"/>
      </rPr>
      <t xml:space="preserve">?</t>
    </r>
  </si>
  <si>
    <t xml:space="preserve">안익태</t>
  </si>
  <si>
    <t xml:space="preserve">국명</t>
  </si>
  <si>
    <r>
      <rPr>
        <sz val="10"/>
        <rFont val="Noto Sans CJK SC"/>
        <family val="2"/>
      </rPr>
      <t xml:space="preserve">우리나라의 국명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</si>
  <si>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애국가에서 같은 부분을 반복하는 것은</t>
    </r>
    <r>
      <rPr>
        <sz val="10"/>
        <rFont val="Arial"/>
        <family val="0"/>
        <charset val="1"/>
      </rPr>
      <t xml:space="preserve">?</t>
    </r>
  </si>
  <si>
    <t xml:space="preserve">후렴구</t>
  </si>
  <si>
    <r>
      <rPr>
        <sz val="10"/>
        <rFont val="Noto Sans CJK SC"/>
        <family val="2"/>
      </rPr>
      <t xml:space="preserve">애국가의 뜻은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</si>
  <si>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나라를 사랑하는 노래라는 뜻을 가지고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</si>
  <si>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1936</t>
    </r>
    <r>
      <rPr>
        <sz val="10"/>
        <rFont val="Noto Sans CJK SC"/>
        <family val="2"/>
      </rPr>
      <t xml:space="preserve">년 안익태에 의해 작곡되었으며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나라를 사랑하는 노래라는 뜻을 가지고 있는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</si>
  <si>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애국가는 언제 작곡되었습니까</t>
    </r>
    <r>
      <rPr>
        <sz val="10"/>
        <rFont val="Arial"/>
        <family val="0"/>
        <charset val="1"/>
      </rPr>
      <t xml:space="preserve">?</t>
    </r>
  </si>
  <si>
    <t xml:space="preserve">1936-01-01</t>
  </si>
  <si>
    <r>
      <rPr>
        <sz val="10"/>
        <rFont val="Noto Sans CJK SC"/>
        <family val="2"/>
      </rPr>
      <t xml:space="preserve">애국가 </t>
    </r>
    <r>
      <rPr>
        <sz val="10"/>
        <rFont val="Arial"/>
        <family val="0"/>
        <charset val="1"/>
      </rPr>
      <t xml:space="preserve">1, 2, 3, 4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</si>
  <si>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동해물과 백두산이 마르고 닳도록 하느님이 보우하사 우리나라 만세 </t>
    </r>
    <r>
      <rPr>
        <sz val="10"/>
        <rFont val="Arial"/>
        <family val="0"/>
        <charset val="1"/>
      </rPr>
      <t xml:space="preserve">
(2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남산 위에 저 소나무 철갑을 두른 듯 바람 서리 불변함은 우리 기상일세 </t>
    </r>
    <r>
      <rPr>
        <sz val="10"/>
        <rFont val="Arial"/>
        <family val="0"/>
        <charset val="1"/>
      </rPr>
      <t xml:space="preserve">
(3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가을 하늘 공활한데 높고 구름 없이 밝은 달은 우리 가슴 일편단심일세 </t>
    </r>
    <r>
      <rPr>
        <sz val="10"/>
        <rFont val="Arial"/>
        <family val="0"/>
        <charset val="1"/>
      </rPr>
      <t xml:space="preserve">
(4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 기상과 이 맘으로 충성을 다하여 괴로우나 즐거우나 나라 사랑하세</t>
    </r>
    <r>
      <rPr>
        <sz val="10"/>
        <rFont val="Arial"/>
        <family val="0"/>
        <charset val="1"/>
      </rPr>
      <t xml:space="preserve">
</t>
    </r>
    <r>
      <rPr>
        <sz val="10"/>
        <rFont val="Noto Sans CJK SC"/>
        <family val="2"/>
      </rPr>
      <t xml:space="preserve">무궁화 삼천리 화려 강산 대한 사람 대한으로 길이 보전하세</t>
    </r>
  </si>
  <si>
    <r>
      <rPr>
        <sz val="10"/>
        <rFont val="Noto Sans CJK SC"/>
        <family val="2"/>
      </rPr>
      <t xml:space="preserve">애국가에 대해 이야기 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</si>
  <si>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우리나라의 국가로 조국에 대한 사랑을 일깨우고 다짐하기 위하여 온 국민이 부르는 노래입니다</t>
    </r>
    <r>
      <rPr>
        <sz val="10"/>
        <rFont val="Arial"/>
        <family val="0"/>
        <charset val="1"/>
      </rPr>
      <t xml:space="preserve">. 1936</t>
    </r>
    <r>
      <rPr>
        <sz val="10"/>
        <rFont val="Noto Sans CJK SC"/>
        <family val="2"/>
      </rPr>
      <t xml:space="preserve">년에 안익태가 작곡하여 </t>
    </r>
    <r>
      <rPr>
        <sz val="10"/>
        <rFont val="Arial"/>
        <family val="0"/>
        <charset val="1"/>
      </rPr>
      <t xml:space="preserve">1948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정부수립과 함께 대한민국 국가로 불리게 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</si>
  <si>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애국가는 언제 국가로 불렸습니까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</si>
  <si>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1948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정부수립과 함께</t>
    </r>
  </si>
  <si>
    <r>
      <rPr>
        <sz val="10"/>
        <rFont val="Noto Sans CJK SC"/>
        <family val="2"/>
      </rPr>
      <t xml:space="preserve">대한민국을 상징하는 것들은 무엇이 있을까요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</si>
  <si>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김치 등</t>
    </r>
  </si>
  <si>
    <t xml:space="preserve">국기</t>
  </si>
  <si>
    <r>
      <rPr>
        <sz val="10"/>
        <rFont val="Noto Sans CJK SC"/>
        <family val="2"/>
      </rPr>
      <t xml:space="preserve">태극기를 만든 사람은 누구입니까</t>
    </r>
    <r>
      <rPr>
        <sz val="10"/>
        <rFont val="Arial"/>
        <family val="0"/>
        <charset val="1"/>
      </rPr>
      <t xml:space="preserve">?</t>
    </r>
  </si>
  <si>
    <t xml:space="preserve">박영효</t>
  </si>
  <si>
    <t xml:space="preserve">태극기</t>
  </si>
  <si>
    <r>
      <rPr>
        <sz val="10"/>
        <rFont val="Noto Sans CJK SC"/>
        <family val="2"/>
      </rPr>
      <t xml:space="preserve">대한민국을 상징하는 국기의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</si>
  <si>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국경일 아침 일어나 가장 먼저 해야 할 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</si>
  <si>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태극기를 게양합니다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</si>
  <si>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태극기가 만들어진 시기는</t>
    </r>
    <r>
      <rPr>
        <sz val="10"/>
        <rFont val="Arial"/>
        <family val="0"/>
        <charset val="1"/>
      </rPr>
      <t xml:space="preserve">?</t>
    </r>
  </si>
  <si>
    <t xml:space="preserve">1882-01-01</t>
  </si>
  <si>
    <r>
      <rPr>
        <sz val="10"/>
        <rFont val="Noto Sans CJK SC"/>
        <family val="2"/>
      </rPr>
      <t xml:space="preserve">태극기의 문양을 설명해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</si>
  <si>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흰색 바탕에 빨강과 파랑의 태극 문양이 중앙에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모서리에 검은색의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괘가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</si>
  <si>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국기에 대한 맹세를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</si>
  <si>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나는 자랑스러운 태극기 앞에 자유롭고 정의로운 대한민국의 무궁한 영광을 위하여 충성을 다할 것을 굳게 다짐합니다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</si>
  <si>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태극기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괘의 의미는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</si>
  <si>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건은 하늘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곤은 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감은 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리는 불을 의미하며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자연의 조화를 강조하고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</si>
  <si>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 국경일을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</si>
  <si>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제헌절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광복절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개천절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한글날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</si>
  <si>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태극기의 흰 바탕의 의미는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</si>
  <si>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밝음과 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전통적으로 평화를 사랑하는 우리의 민족성을 나타내고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</si>
  <si>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현충일에는 국기를 어떻게 게양해야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</si>
  <si>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깃봉에서 깃면의 세로 길이만큼 내려 조기 게양을 해야합니다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</si>
  <si>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국기에 대한 경례를 하는 방법을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</si>
  <si>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오른손을 펴서 왼쪽 가슴에 대고 애국가가 나오는 동안 태극기를 바라봅니다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</si>
  <si>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태극기의 태극 문양이 의미하는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</si>
  <si>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중앙의 태극 문양 중 빨강은 존귀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파랑은 희망을 나타내고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가운데의 태극 문양은 전통적으로 한민족을 나타냅니다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</si>
  <si>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조의를 표하기 위해 태극기를 다는 날은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</si>
  <si>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일 현충일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</si>
  <si>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일 현충일과 국장 기간에는 태극기를 어떻게 게양합니까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</si>
  <si>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깃봉에서 깃면의 너비만큼 내려서 게양합니다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</si>
  <si>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삼일절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현충일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제헌절 등 우리나라 국경일에 꼭 해야하는 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</si>
  <si>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태극기를 게양합니다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</si>
  <si>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태극기의 모서리에 검은색으로 그려져 있는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각각 하늘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불을 의미하는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괘를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</si>
  <si>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하늘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땅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Arial"/>
        <family val="0"/>
        <charset val="1"/>
      </rPr>
      <t xml:space="preserve">)</t>
    </r>
  </si>
  <si>
    <t xml:space="preserve">국화</t>
  </si>
  <si>
    <r>
      <rPr>
        <sz val="10"/>
        <rFont val="Noto Sans CJK SC"/>
        <family val="2"/>
      </rPr>
      <t xml:space="preserve">우리나라를 상징하는 국화는 무엇입니까</t>
    </r>
    <r>
      <rPr>
        <sz val="10"/>
        <rFont val="Arial"/>
        <family val="0"/>
        <charset val="1"/>
      </rPr>
      <t xml:space="preserve">?</t>
    </r>
  </si>
  <si>
    <t xml:space="preserve">무궁화</t>
  </si>
  <si>
    <r>
      <rPr>
        <sz val="10"/>
        <rFont val="Noto Sans CJK SC"/>
        <family val="2"/>
      </rPr>
      <t xml:space="preserve">영원히 피고 또 피어서 지지 않는 꽃이라는 뜻을 가진 대한민국을 상징하는 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</si>
  <si>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무궁화의 의미를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</si>
  <si>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영원히 피고 또 피어서 지지 않는 꽃이라는 의미를 가지고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</si>
  <si>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무궁화에 대하여 이야기 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</si>
  <si>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우리나라의 국화인 무궁화는 꽃이 피고 지는 것이 끝이 없다는 의미를 가지고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일제 강점기에 우리 민족은 더욱 무궁화를 국기처럼 소중히 생각하고 민족의 꽃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나라의 꽃으로 누구나 믿게 되었으며</t>
    </r>
    <r>
      <rPr>
        <sz val="10"/>
        <rFont val="Arial"/>
        <family val="0"/>
        <charset val="1"/>
      </rPr>
      <t xml:space="preserve">, 1945</t>
    </r>
    <r>
      <rPr>
        <sz val="10"/>
        <rFont val="Noto Sans CJK SC"/>
        <family val="2"/>
      </rPr>
      <t xml:space="preserve">년 광복 후에는 국기가 법으로 제정되면서 국기봉을 무궁화 꽃봉오리로 정하였고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정부와 국회의 표장도 무궁화 도안으로 널리 사용하게 되었습니다</t>
    </r>
    <r>
      <rPr>
        <sz val="10"/>
        <rFont val="Arial"/>
        <family val="0"/>
        <charset val="1"/>
      </rPr>
      <t xml:space="preserve">. 7</t>
    </r>
    <r>
      <rPr>
        <sz val="10"/>
        <rFont val="Noto Sans CJK SC"/>
        <family val="2"/>
      </rPr>
      <t xml:space="preserve">월에서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사이에 꽃을 피운다</t>
    </r>
    <r>
      <rPr>
        <sz val="10"/>
        <rFont val="Arial"/>
        <family val="0"/>
        <charset val="1"/>
      </rPr>
      <t xml:space="preserve">.</t>
    </r>
  </si>
  <si>
    <t xml:space="preserve">한글</t>
  </si>
  <si>
    <r>
      <rPr>
        <sz val="10"/>
        <rFont val="Noto Sans CJK SC"/>
        <family val="2"/>
      </rPr>
      <t xml:space="preserve">한글을 만든 사람은 누구입니까</t>
    </r>
    <r>
      <rPr>
        <sz val="10"/>
        <rFont val="Arial"/>
        <family val="0"/>
        <charset val="1"/>
      </rPr>
      <t xml:space="preserve">?</t>
    </r>
  </si>
  <si>
    <t xml:space="preserve">우리 글자</t>
  </si>
  <si>
    <r>
      <rPr>
        <sz val="10"/>
        <rFont val="Noto Sans CJK SC"/>
        <family val="2"/>
      </rPr>
      <t xml:space="preserve">백성을 가르치는 바른 소리라는 뜻으로 </t>
    </r>
    <r>
      <rPr>
        <sz val="10"/>
        <rFont val="Arial"/>
        <family val="0"/>
        <charset val="1"/>
      </rPr>
      <t xml:space="preserve">1443</t>
    </r>
    <r>
      <rPr>
        <sz val="10"/>
        <rFont val="Noto Sans CJK SC"/>
        <family val="2"/>
      </rPr>
      <t xml:space="preserve">년에 세종대왕이 창제한 우리나라 글자는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</si>
  <si>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훈민정음의 뜻은 무엇입니까</t>
    </r>
    <r>
      <rPr>
        <sz val="10"/>
        <rFont val="Arial"/>
        <family val="0"/>
        <charset val="1"/>
      </rPr>
      <t xml:space="preserve">?</t>
    </r>
  </si>
  <si>
    <t xml:space="preserve">백성을 가르치는 바른 소리</t>
  </si>
  <si>
    <r>
      <rPr>
        <sz val="10"/>
        <rFont val="Noto Sans CJK SC"/>
        <family val="2"/>
      </rPr>
      <t xml:space="preserve">한글에 대하여 이야기 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</si>
  <si>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한글은 우리나라의 고유 글자로 조선시대인 </t>
    </r>
    <r>
      <rPr>
        <sz val="10"/>
        <rFont val="Arial"/>
        <family val="0"/>
        <charset val="1"/>
      </rPr>
      <t xml:space="preserve">1443</t>
    </r>
    <r>
      <rPr>
        <sz val="10"/>
        <rFont val="Noto Sans CJK SC"/>
        <family val="2"/>
      </rPr>
      <t xml:space="preserve">년 세종대왕과 집현전 학사들이 만들었습니다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한글의 처음 이름은 ‘훈민정음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訓民正音</t>
    </r>
    <r>
      <rPr>
        <sz val="10"/>
        <rFont val="Arial"/>
        <family val="0"/>
        <charset val="1"/>
      </rPr>
      <t xml:space="preserve">)’</t>
    </r>
    <r>
      <rPr>
        <sz val="10"/>
        <rFont val="Noto Sans CJK SC"/>
        <family val="2"/>
      </rPr>
      <t xml:space="preserve">이며</t>
    </r>
    <r>
      <rPr>
        <sz val="10"/>
        <rFont val="Arial"/>
        <family val="0"/>
        <charset val="1"/>
      </rPr>
      <t xml:space="preserve">, ‘</t>
    </r>
    <r>
      <rPr>
        <sz val="10"/>
        <rFont val="Noto Sans CJK SC"/>
        <family val="2"/>
      </rPr>
      <t xml:space="preserve">백성을 가르치는 바른 소리’라는 뜻입니다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세종대왕은 백성들이 글을 제대로 쓰지 못하는 것을 안타깝게 여겨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누구나 쉽게 배우고 쓸 수 있는 한글을 만들게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한글이 만들어진 후 문맹이 크게 준것을 기념하기 위하여 유네스코</t>
    </r>
    <r>
      <rPr>
        <sz val="10"/>
        <rFont val="Arial"/>
        <family val="0"/>
        <charset val="1"/>
      </rPr>
      <t xml:space="preserve">(UNESCO)</t>
    </r>
    <r>
      <rPr>
        <sz val="10"/>
        <rFont val="Noto Sans CJK SC"/>
        <family val="2"/>
      </rPr>
      <t xml:space="preserve">에서는 세계적 문맹퇴치사업이 가장 공이 큰 사람이나 단체에 상을 줄 때 그 상의 이름을 세종대왕상이라고 정했답니다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</si>
  <si>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한글을 만든 것을 기념하는 날은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</si>
  <si>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 한글날</t>
    </r>
  </si>
  <si>
    <r>
      <rPr>
        <sz val="10"/>
        <rFont val="Noto Sans CJK SC"/>
        <family val="2"/>
      </rPr>
      <t xml:space="preserve">세종대왕이 훈민정음을 창제한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</si>
  <si>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백성을 사랑하는 마음으로 누구나 쉽게 배우고 쓸 수 있게 하기 위하여 만들었습니다</t>
    </r>
    <r>
      <rPr>
        <sz val="10"/>
        <rFont val="Arial"/>
        <family val="0"/>
        <charset val="1"/>
      </rPr>
      <t xml:space="preserve">.</t>
    </r>
  </si>
  <si>
    <t xml:space="preserve">화폐</t>
  </si>
  <si>
    <r>
      <rPr>
        <sz val="10"/>
        <rFont val="Noto Sans CJK SC"/>
        <family val="2"/>
      </rPr>
      <t xml:space="preserve">천원에 그려진 인물은 무엇입니까</t>
    </r>
    <r>
      <rPr>
        <sz val="10"/>
        <rFont val="Arial"/>
        <family val="0"/>
        <charset val="1"/>
      </rPr>
      <t xml:space="preserve">?</t>
    </r>
  </si>
  <si>
    <t xml:space="preserve">퇴계 이황</t>
  </si>
  <si>
    <t xml:space="preserve">우리 돈</t>
  </si>
  <si>
    <r>
      <rPr>
        <sz val="10"/>
        <rFont val="Noto Sans CJK SC"/>
        <family val="2"/>
      </rPr>
      <t xml:space="preserve">만원에 그려진 인물은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</si>
  <si>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화폐 단위는 무엇입니까</t>
    </r>
    <r>
      <rPr>
        <sz val="10"/>
        <rFont val="Arial"/>
        <family val="0"/>
        <charset val="1"/>
      </rPr>
      <t xml:space="preserve">?</t>
    </r>
  </si>
  <si>
    <t xml:space="preserve">원</t>
  </si>
  <si>
    <r>
      <rPr>
        <sz val="10"/>
        <rFont val="Noto Sans CJK SC"/>
        <family val="2"/>
      </rPr>
      <t xml:space="preserve">오천원에 그려진 인물은 무엇입니까</t>
    </r>
    <r>
      <rPr>
        <sz val="10"/>
        <rFont val="Arial"/>
        <family val="0"/>
        <charset val="1"/>
      </rPr>
      <t xml:space="preserve">?</t>
    </r>
  </si>
  <si>
    <t xml:space="preserve">율곡 이이</t>
  </si>
  <si>
    <r>
      <rPr>
        <sz val="10"/>
        <rFont val="Noto Sans CJK SC"/>
        <family val="2"/>
      </rPr>
      <t xml:space="preserve">대한민국의 화폐 종류는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</si>
  <si>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동전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수표</t>
    </r>
  </si>
  <si>
    <r>
      <rPr>
        <sz val="10"/>
        <rFont val="Noto Sans CJK SC"/>
        <family val="2"/>
      </rPr>
      <t xml:space="preserve">오만원에 그려진 인물은 무엇입니까</t>
    </r>
    <r>
      <rPr>
        <sz val="10"/>
        <rFont val="Arial"/>
        <family val="0"/>
        <charset val="1"/>
      </rPr>
      <t xml:space="preserve">?</t>
    </r>
  </si>
  <si>
    <t xml:space="preserve">신사임당</t>
  </si>
  <si>
    <r>
      <rPr>
        <sz val="10"/>
        <rFont val="Noto Sans CJK SC"/>
        <family val="2"/>
      </rPr>
      <t xml:space="preserve">천 원권에 그려진 인물은 누구인가요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</si>
  <si>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만 원권에 그려진 인물은 누구인가요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</si>
  <si>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오천 원권에 그려진 인물은 누구인가요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</si>
  <si>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한국에서 사용되고 있는 지폐 종류는 무엇이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</si>
  <si>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오천원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오만원</t>
    </r>
  </si>
  <si>
    <r>
      <rPr>
        <sz val="10"/>
        <rFont val="Noto Sans CJK SC"/>
        <family val="2"/>
      </rPr>
      <t xml:space="preserve">오만 원권에 그려진 인물은 누군인가요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</si>
  <si>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원 동전에 새겨진 동물은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</si>
  <si>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두루미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</si>
  <si>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(23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</si>
  <si>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원 동전에 새겨진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</si>
  <si>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큰 금액의 돈을 대신하여 은행에서 발행된 화폐는 무엇입니까</t>
    </r>
    <r>
      <rPr>
        <sz val="10"/>
        <rFont val="Arial"/>
        <family val="0"/>
        <charset val="1"/>
      </rPr>
      <t xml:space="preserve">?</t>
    </r>
  </si>
  <si>
    <t xml:space="preserve">수표</t>
  </si>
  <si>
    <r>
      <rPr>
        <sz val="10"/>
        <rFont val="Noto Sans CJK SC"/>
        <family val="2"/>
      </rPr>
      <t xml:space="preserve">실제로 시장에서 거래할 때 사용하는 동전은 어떤 것이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</si>
  <si>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50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500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</si>
  <si>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대한민국의 화폐 중 천원권에 인쇄되어 있는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</si>
  <si>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화폐 중 만원권에 인쇄되어 있는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</si>
  <si>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화폐 중 오천원권에 인쇄되어 있는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</si>
  <si>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화폐 중 오만원권에 인쇄되어 있는 사람은 누구입니까</t>
    </r>
    <r>
      <rPr>
        <sz val="10"/>
        <rFont val="Arial"/>
        <family val="0"/>
        <charset val="1"/>
      </rPr>
      <t xml:space="preserve">?</t>
    </r>
  </si>
  <si>
    <t xml:space="preserve">지리</t>
  </si>
  <si>
    <r>
      <rPr>
        <sz val="10"/>
        <rFont val="Noto Sans CJK SC"/>
        <family val="2"/>
      </rPr>
      <t xml:space="preserve">대한민국에서 제일 높은 산은 어디입니까</t>
    </r>
    <r>
      <rPr>
        <sz val="10"/>
        <rFont val="Arial"/>
        <family val="0"/>
        <charset val="1"/>
      </rPr>
      <t xml:space="preserve">?</t>
    </r>
  </si>
  <si>
    <t xml:space="preserve">한라산</t>
  </si>
  <si>
    <t xml:space="preserve">서울과 우리 땅</t>
  </si>
  <si>
    <r>
      <rPr>
        <sz val="10"/>
        <rFont val="Noto Sans CJK SC"/>
        <family val="2"/>
      </rPr>
      <t xml:space="preserve">남북한을 통틀어 가장 높은 산은 무엇입니까</t>
    </r>
    <r>
      <rPr>
        <sz val="10"/>
        <rFont val="Arial"/>
        <family val="0"/>
        <charset val="1"/>
      </rPr>
      <t xml:space="preserve">?</t>
    </r>
  </si>
  <si>
    <t xml:space="preserve">백두산</t>
  </si>
  <si>
    <r>
      <rPr>
        <sz val="10"/>
        <rFont val="Noto Sans CJK SC"/>
        <family val="2"/>
      </rPr>
      <t xml:space="preserve">우리나라 가장 남쪽에 있는 섬은 무엇입니까</t>
    </r>
    <r>
      <rPr>
        <sz val="10"/>
        <rFont val="Arial"/>
        <family val="0"/>
        <charset val="1"/>
      </rPr>
      <t xml:space="preserve">?</t>
    </r>
  </si>
  <si>
    <t xml:space="preserve">마라도</t>
  </si>
  <si>
    <r>
      <rPr>
        <sz val="10"/>
        <rFont val="Noto Sans CJK SC"/>
        <family val="2"/>
      </rPr>
      <t xml:space="preserve">우리나라 동해상에 위치해 있는 섬은 무엇입니까</t>
    </r>
    <r>
      <rPr>
        <sz val="10"/>
        <rFont val="Arial"/>
        <family val="0"/>
        <charset val="1"/>
      </rPr>
      <t xml:space="preserve">?</t>
    </r>
  </si>
  <si>
    <t xml:space="preserve">울릉도</t>
  </si>
  <si>
    <r>
      <rPr>
        <sz val="10"/>
        <rFont val="Noto Sans CJK SC"/>
        <family val="2"/>
      </rPr>
      <t xml:space="preserve">한반도의 뜻은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</si>
  <si>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삼면이 바다로 둘러싸이고 한곳이 육지로 연결된 곳을 말합니다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</si>
  <si>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눈이 내리고 춥고 건조한 우리나라 계절은 무엇입니까</t>
    </r>
    <r>
      <rPr>
        <sz val="10"/>
        <rFont val="Arial"/>
        <family val="0"/>
        <charset val="1"/>
      </rPr>
      <t xml:space="preserve">?</t>
    </r>
  </si>
  <si>
    <t xml:space="preserve">겨울</t>
  </si>
  <si>
    <r>
      <rPr>
        <sz val="10"/>
        <rFont val="Noto Sans CJK SC"/>
        <family val="2"/>
      </rPr>
      <t xml:space="preserve">조선시대에 건립한 한양 도성의 동쪽 정문은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</si>
  <si>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흥인지문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동대문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</si>
  <si>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짧음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</si>
  <si>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조선시대에 건립한 한양 도성의 서쪽 정문은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</si>
  <si>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돈의문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서대문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</si>
  <si>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조선시대에 건립한 한양 도성의 남쪽 정문은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</si>
  <si>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숭례문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남대문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</si>
  <si>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독도는 어느 나라 땅입니까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</si>
  <si>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 땅입니다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</si>
  <si>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조선시대에 건립한 한양 도성의 북쪽 정문은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</si>
  <si>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숙정문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북대문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</si>
  <si>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충청남도와 전북특별자치도의 경계를 이루는 강은 무엇입니까</t>
    </r>
    <r>
      <rPr>
        <sz val="10"/>
        <rFont val="Arial"/>
        <family val="0"/>
        <charset val="1"/>
      </rPr>
      <t xml:space="preserve">?</t>
    </r>
  </si>
  <si>
    <t xml:space="preserve">금강</t>
  </si>
  <si>
    <r>
      <rPr>
        <sz val="10"/>
        <rFont val="Noto Sans CJK SC"/>
        <family val="2"/>
      </rPr>
      <t xml:space="preserve">이른 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꽃이 필 무렵의 추위를 뜻하는 것은 무엇입니까</t>
    </r>
    <r>
      <rPr>
        <sz val="10"/>
        <rFont val="Arial"/>
        <family val="0"/>
        <charset val="1"/>
      </rPr>
      <t xml:space="preserve">?</t>
    </r>
  </si>
  <si>
    <t xml:space="preserve">꽃샘추위</t>
  </si>
  <si>
    <r>
      <rPr>
        <sz val="10"/>
        <rFont val="Noto Sans CJK SC"/>
        <family val="2"/>
      </rPr>
      <t xml:space="preserve">대한민국의 섬으로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한라산 국립공원이 있는 곳은 어디입니까</t>
    </r>
    <r>
      <rPr>
        <sz val="10"/>
        <rFont val="Arial"/>
        <family val="0"/>
        <charset val="1"/>
      </rPr>
      <t xml:space="preserve">?</t>
    </r>
  </si>
  <si>
    <t xml:space="preserve">제주도</t>
  </si>
  <si>
    <r>
      <rPr>
        <sz val="10"/>
        <rFont val="Noto Sans CJK SC"/>
        <family val="2"/>
      </rPr>
      <t xml:space="preserve">한반도의 지리적 장점과 약점은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</si>
  <si>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반도는 대륙과 바다를 이어주기 때문에 문화교류가 활발하다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다만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주변국들의 끊임없는 간섭을 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</si>
  <si>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대한민국의 수도이며 한반도의 중앙에 있는 도시는 무엇입니까</t>
    </r>
    <r>
      <rPr>
        <sz val="10"/>
        <rFont val="Arial"/>
        <family val="0"/>
        <charset val="1"/>
      </rPr>
      <t xml:space="preserve">?</t>
    </r>
  </si>
  <si>
    <t xml:space="preserve">서울</t>
  </si>
  <si>
    <r>
      <rPr>
        <sz val="10"/>
        <rFont val="Noto Sans CJK SC"/>
        <family val="2"/>
      </rPr>
      <t xml:space="preserve">우리나라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계절 중 태풍이 많이 있는 계절은 어떤 계절입니까</t>
    </r>
    <r>
      <rPr>
        <sz val="10"/>
        <rFont val="Arial"/>
        <family val="0"/>
        <charset val="1"/>
      </rPr>
      <t xml:space="preserve">?</t>
    </r>
  </si>
  <si>
    <t xml:space="preserve">여름</t>
  </si>
  <si>
    <r>
      <rPr>
        <sz val="10"/>
        <rFont val="Noto Sans CJK SC"/>
        <family val="2"/>
      </rPr>
      <t xml:space="preserve">한강이 흐르다가 만나는 우리나라 서쪽 바다의 이름은 무엇입니까</t>
    </r>
    <r>
      <rPr>
        <sz val="10"/>
        <rFont val="Arial"/>
        <family val="0"/>
        <charset val="1"/>
      </rPr>
      <t xml:space="preserve">?</t>
    </r>
  </si>
  <si>
    <t xml:space="preserve">서해</t>
  </si>
  <si>
    <r>
      <rPr>
        <sz val="10"/>
        <rFont val="Noto Sans CJK SC"/>
        <family val="2"/>
      </rPr>
      <t xml:space="preserve">무덥고 습하며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태풍과 장마가 있는 우리나라 계절은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</si>
  <si>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계절의 특징을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</si>
  <si>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 사계절이 있으며 계절별로 특징이 뚜렷합니다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</si>
  <si>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남쪽에 있는 섬으로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한국에서 가장 큰 섬은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</si>
  <si>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낙동강이 흐르다가 만나는 우리나라 남쪽 바다의 이름은 무엇입니까</t>
    </r>
    <r>
      <rPr>
        <sz val="10"/>
        <rFont val="Arial"/>
        <family val="0"/>
        <charset val="1"/>
      </rPr>
      <t xml:space="preserve">?</t>
    </r>
  </si>
  <si>
    <t xml:space="preserve">남해</t>
  </si>
  <si>
    <r>
      <rPr>
        <sz val="10"/>
        <rFont val="Noto Sans CJK SC"/>
        <family val="2"/>
      </rPr>
      <t xml:space="preserve">삼면이 바다로 둘러싸이고 한곳이 육지로 연결된 곳을 무엇이라 부르는가</t>
    </r>
    <r>
      <rPr>
        <sz val="10"/>
        <rFont val="Arial"/>
        <family val="0"/>
        <charset val="1"/>
      </rPr>
      <t xml:space="preserve">?</t>
    </r>
  </si>
  <si>
    <t xml:space="preserve">한반도</t>
  </si>
  <si>
    <r>
      <rPr>
        <sz val="10"/>
        <rFont val="Noto Sans CJK SC"/>
        <family val="2"/>
      </rPr>
      <t xml:space="preserve">우리나라 동쪽의 바다로 울릉도와 독도가 있는 바다의 이름은 무엇입니까</t>
    </r>
    <r>
      <rPr>
        <sz val="10"/>
        <rFont val="Arial"/>
        <family val="0"/>
        <charset val="1"/>
      </rPr>
      <t xml:space="preserve">?</t>
    </r>
  </si>
  <si>
    <t xml:space="preserve">동해</t>
  </si>
  <si>
    <r>
      <rPr>
        <sz val="10"/>
        <rFont val="Noto Sans CJK SC"/>
        <family val="2"/>
      </rPr>
      <t xml:space="preserve">서울의 문화재인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 궁궐은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</si>
  <si>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경복궁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경희궁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덕수궁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창덕궁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창경궁</t>
    </r>
  </si>
  <si>
    <r>
      <rPr>
        <sz val="10"/>
        <rFont val="Noto Sans CJK SC"/>
        <family val="2"/>
      </rPr>
      <t xml:space="preserve">이른 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꽃이 필 무렵에 부는 쌀쌀한 바람을 뜻하는 것은 무엇입니까</t>
    </r>
    <r>
      <rPr>
        <sz val="10"/>
        <rFont val="Arial"/>
        <family val="0"/>
        <charset val="1"/>
      </rPr>
      <t xml:space="preserve">?</t>
    </r>
  </si>
  <si>
    <t xml:space="preserve">꽃샘바람</t>
  </si>
  <si>
    <r>
      <rPr>
        <sz val="10"/>
        <rFont val="Noto Sans CJK SC"/>
        <family val="2"/>
      </rPr>
      <t xml:space="preserve">북한과 중국의 경계에 있는 산으로 한반도에서 제일 높은 산은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</si>
  <si>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중부를 흐르는 강으로 서쪽 바다와 만나는 강의 이름은 무엇입니까</t>
    </r>
    <r>
      <rPr>
        <sz val="10"/>
        <rFont val="Arial"/>
        <family val="0"/>
        <charset val="1"/>
      </rPr>
      <t xml:space="preserve">?</t>
    </r>
  </si>
  <si>
    <t xml:space="preserve">한강</t>
  </si>
  <si>
    <t xml:space="preserve">수도</t>
  </si>
  <si>
    <r>
      <rPr>
        <sz val="10"/>
        <rFont val="Noto Sans CJK SC"/>
        <family val="2"/>
      </rPr>
      <t xml:space="preserve">대한민국의 수도이며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교통의 중심지인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</si>
  <si>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계절 중 봄에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</si>
  <si>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포근하고 따뜻하여 꽃이 많이 피며 꽃샘추위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황사현상 등이 나타납니다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</si>
  <si>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1980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일에 민주화운동의 주권 장소가 되었던 도시는 어디입니까</t>
    </r>
    <r>
      <rPr>
        <sz val="10"/>
        <rFont val="Arial"/>
        <family val="0"/>
        <charset val="1"/>
      </rPr>
      <t xml:space="preserve">?</t>
    </r>
  </si>
  <si>
    <t xml:space="preserve">광주</t>
  </si>
  <si>
    <r>
      <rPr>
        <sz val="10"/>
        <rFont val="Noto Sans CJK SC"/>
        <family val="2"/>
      </rPr>
      <t xml:space="preserve">포근하고 따뜻하나 황사가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꽃이 많이 피는 우리나라 계절은 무엇입니까</t>
    </r>
    <r>
      <rPr>
        <sz val="10"/>
        <rFont val="Arial"/>
        <family val="0"/>
        <charset val="1"/>
      </rPr>
      <t xml:space="preserve">?</t>
    </r>
  </si>
  <si>
    <t xml:space="preserve">봄</t>
  </si>
  <si>
    <r>
      <rPr>
        <sz val="10"/>
        <rFont val="Noto Sans CJK SC"/>
        <family val="2"/>
      </rPr>
      <t xml:space="preserve">한 지역에서 짧은 시간에 내리는 많은 양의 강한 비를 뜻하는 것은 무엇입니까</t>
    </r>
    <r>
      <rPr>
        <sz val="10"/>
        <rFont val="Arial"/>
        <family val="0"/>
        <charset val="1"/>
      </rPr>
      <t xml:space="preserve">?</t>
    </r>
  </si>
  <si>
    <t xml:space="preserve">집중호우</t>
  </si>
  <si>
    <r>
      <rPr>
        <sz val="10"/>
        <rFont val="Noto Sans CJK SC"/>
        <family val="2"/>
      </rPr>
      <t xml:space="preserve">고려시대에는 개성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조선시대에는 한양으로 불리었던 우리나라의 수도는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</si>
  <si>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계절 중 여름에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</si>
  <si>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온도가 높고 비가 많이 오며 태풍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집중호우가 나타납니다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</si>
  <si>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우리나라에서 가장 긴 강으로 강원도에서 시작하여 남해로 흐르는 강은 무엇입니까</t>
    </r>
    <r>
      <rPr>
        <sz val="10"/>
        <rFont val="Arial"/>
        <family val="0"/>
        <charset val="1"/>
      </rPr>
      <t xml:space="preserve">?</t>
    </r>
  </si>
  <si>
    <t xml:space="preserve">낙동강</t>
  </si>
  <si>
    <r>
      <rPr>
        <sz val="10"/>
        <rFont val="Noto Sans CJK SC"/>
        <family val="2"/>
      </rPr>
      <t xml:space="preserve">여름철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여러 날 계속해서 비가 내리는 현상이나 날씨를 뜻하는 것은 무엇입니까</t>
    </r>
    <r>
      <rPr>
        <sz val="10"/>
        <rFont val="Arial"/>
        <family val="0"/>
        <charset val="1"/>
      </rPr>
      <t xml:space="preserve">?</t>
    </r>
  </si>
  <si>
    <t xml:space="preserve">장마</t>
  </si>
  <si>
    <r>
      <rPr>
        <sz val="10"/>
        <rFont val="Arial"/>
        <family val="0"/>
        <charset val="1"/>
      </rPr>
      <t xml:space="preserve">1988</t>
    </r>
    <r>
      <rPr>
        <sz val="10"/>
        <rFont val="Noto Sans CJK SC"/>
        <family val="2"/>
      </rPr>
      <t xml:space="preserve">년 올림픽과 </t>
    </r>
    <r>
      <rPr>
        <sz val="10"/>
        <rFont val="Arial"/>
        <family val="0"/>
        <charset val="1"/>
      </rPr>
      <t xml:space="preserve">2002</t>
    </r>
    <r>
      <rPr>
        <sz val="10"/>
        <rFont val="Noto Sans CJK SC"/>
        <family val="2"/>
      </rPr>
      <t xml:space="preserve">년 월드컵대회가 개최되었던 도시의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</si>
  <si>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강한 폭풍우를 동반하며 비와 바람에 의한 피해가 발생하는 것을 무엇이라고 합니까</t>
    </r>
    <r>
      <rPr>
        <sz val="10"/>
        <rFont val="Arial"/>
        <family val="0"/>
        <charset val="1"/>
      </rPr>
      <t xml:space="preserve">?</t>
    </r>
  </si>
  <si>
    <t xml:space="preserve">태풍</t>
  </si>
  <si>
    <r>
      <rPr>
        <sz val="10"/>
        <rFont val="Noto Sans CJK SC"/>
        <family val="2"/>
      </rPr>
      <t xml:space="preserve">우리나라 계절 중 가을에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</si>
  <si>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신선하고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건조하며 단풍이 물들고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맑고 청명한 날씨가 계속됩니다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</si>
  <si>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대한민국의 가장 동쪽에 있는 섬이며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역사 속 명칭으로 우산도로 불린 곳은 어디입니까</t>
    </r>
    <r>
      <rPr>
        <sz val="10"/>
        <rFont val="Arial"/>
        <family val="0"/>
        <charset val="1"/>
      </rPr>
      <t xml:space="preserve">?</t>
    </r>
  </si>
  <si>
    <t xml:space="preserve">독도</t>
  </si>
  <si>
    <r>
      <rPr>
        <sz val="10"/>
        <rFont val="Noto Sans CJK SC"/>
        <family val="2"/>
      </rPr>
      <t xml:space="preserve">남한과 북한을 포함해 한반도에서 가장 긴 강으로 중국과 경계를 이루는 강은 무엇입니까</t>
    </r>
    <r>
      <rPr>
        <sz val="10"/>
        <rFont val="Arial"/>
        <family val="0"/>
        <charset val="1"/>
      </rPr>
      <t xml:space="preserve">?</t>
    </r>
  </si>
  <si>
    <t xml:space="preserve">압록강</t>
  </si>
  <si>
    <r>
      <rPr>
        <sz val="10"/>
        <rFont val="Noto Sans CJK SC"/>
        <family val="2"/>
      </rPr>
      <t xml:space="preserve">봄낱 햇볕이 강하게 쬘 때 공기가 공중에서 아른아른 움직이는 현상을 무엇이라고 합니까</t>
    </r>
    <r>
      <rPr>
        <sz val="10"/>
        <rFont val="Arial"/>
        <family val="0"/>
        <charset val="1"/>
      </rPr>
      <t xml:space="preserve">?</t>
    </r>
  </si>
  <si>
    <t xml:space="preserve">아지랑이</t>
  </si>
  <si>
    <r>
      <rPr>
        <sz val="10"/>
        <rFont val="Noto Sans CJK SC"/>
        <family val="2"/>
      </rPr>
      <t xml:space="preserve">신라시대의 중심도시로 불국사와 석굴암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첨성대 등 유적과 유물이 많은 곳은 어디입니까</t>
    </r>
    <r>
      <rPr>
        <sz val="10"/>
        <rFont val="Arial"/>
        <family val="0"/>
        <charset val="1"/>
      </rPr>
      <t xml:space="preserve">?</t>
    </r>
  </si>
  <si>
    <t xml:space="preserve">경주</t>
  </si>
  <si>
    <r>
      <rPr>
        <sz val="10"/>
        <rFont val="Noto Sans CJK SC"/>
        <family val="2"/>
      </rPr>
      <t xml:space="preserve">우리나라 계절 중 겨울에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</si>
  <si>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춥고 눈이 내리며 건조합니다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</si>
  <si>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가을에 나타나는 현상으로 식물의 잎이 붉은색이나 누런색으로 변하는 것을 무엇이라고 합니까</t>
    </r>
    <r>
      <rPr>
        <sz val="10"/>
        <rFont val="Arial"/>
        <family val="0"/>
        <charset val="1"/>
      </rPr>
      <t xml:space="preserve">?</t>
    </r>
  </si>
  <si>
    <t xml:space="preserve">단풍</t>
  </si>
  <si>
    <r>
      <rPr>
        <sz val="10"/>
        <rFont val="Noto Sans CJK SC"/>
        <family val="2"/>
      </rPr>
      <t xml:space="preserve">신선하고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건조하며 단풍이 물들고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맑고 청명한 날씨가 계속되는 우리나라 계절은 무엇입니까</t>
    </r>
    <r>
      <rPr>
        <sz val="10"/>
        <rFont val="Arial"/>
        <family val="0"/>
        <charset val="1"/>
      </rPr>
      <t xml:space="preserve">?</t>
    </r>
  </si>
  <si>
    <t xml:space="preserve">가을</t>
  </si>
  <si>
    <r>
      <rPr>
        <sz val="10"/>
        <rFont val="Noto Sans CJK SC"/>
        <family val="2"/>
      </rPr>
      <t xml:space="preserve">대한민국의 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의 도시로 매년 국제영화제가 열리며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해운대 바닷가가 유명한 곳은 어디입니까</t>
    </r>
    <r>
      <rPr>
        <sz val="10"/>
        <rFont val="Arial"/>
        <family val="0"/>
        <charset val="1"/>
      </rPr>
      <t xml:space="preserve">?</t>
    </r>
  </si>
  <si>
    <t xml:space="preserve">부산</t>
  </si>
  <si>
    <r>
      <rPr>
        <sz val="10"/>
        <rFont val="Noto Sans CJK SC"/>
        <family val="2"/>
      </rPr>
      <t xml:space="preserve">국제 관광지 한라산이 있으며 여자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돌의 세 가지 많아 삼다도라고도 불리는 섬은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</si>
  <si>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우리가 사는 지역의 관광명소 및 축제는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</si>
  <si>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인천 관광 명소는 월미도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차이나타운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송도 등이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월미도에서는 석양을 바라보기 좋고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차이나타운 위에 자유 공원에서는 매년 벚꽃 축제가 열립니다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송도는 신도시로 다양한 문화 예술 공연이 열립니다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</si>
  <si>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동해에 있는 바위 섬으로 울릉도 옆에 있으며 옛날에는 우산국으로도 불리던 이곳의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</si>
  <si>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삼면이 바다로 둘러싸이고 한 면은 육지와 이어진 우리나라 국토를 지형적으로 일컫는 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</si>
  <si>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서쪽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동쪽의 바다 이름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</si>
  <si>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동해입니다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</si>
  <si>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서울의 문화재로 조선시대 성문인 사대문의 명칭을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</si>
  <si>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흥인지문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동대문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돈의문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서대문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숭례문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남대문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숙정문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복대문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</si>
  <si>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독도는 대한민국 영토입니다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외국인 친구가 독도를 일본의 영토로 잘못 알고 있다면 어떻게 하겠습니까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</si>
  <si>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독도는 대한민국의 영토라고 바르게 알려주겠습니다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</si>
  <si>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 보통</t>
    </r>
    <r>
      <rPr>
        <sz val="10"/>
        <rFont val="Arial"/>
        <family val="0"/>
        <charset val="1"/>
      </rPr>
      <t xml:space="preserve">(56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어려움</t>
    </r>
  </si>
  <si>
    <r>
      <rPr>
        <sz val="10"/>
        <rFont val="Noto Sans CJK SC"/>
        <family val="2"/>
      </rPr>
      <t xml:space="preserve">동해는 대한민국의 바다입니다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외국인 친구가 동해를 일본의 바다로 잘못 알고 있다면 어떻게 하겠습니까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</si>
  <si>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동해는 대한민국의 바다라고 바르게 알려주겠습니다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</si>
  <si>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면이 동해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남해 바다로 둘러싸여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중에서 독도가 있는 바다의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</si>
  <si>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겨울철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일은 추위가 계속되다가 다음의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일은 비교적 포근한 날씨가 계속되는 주기적 기후현상을 무엇이라고 합니까</t>
    </r>
    <r>
      <rPr>
        <sz val="10"/>
        <rFont val="Arial"/>
        <family val="0"/>
        <charset val="1"/>
      </rPr>
      <t xml:space="preserve">?</t>
    </r>
  </si>
  <si>
    <t xml:space="preserve">삼한사온 현상</t>
  </si>
  <si>
    <r>
      <rPr>
        <sz val="10"/>
        <rFont val="Noto Sans CJK SC"/>
        <family val="2"/>
      </rPr>
      <t xml:space="preserve">강원특별자치도 설악산은 아름다운 단풍으로 우리나라에서 유명한 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단풍 구경을 하고 싶은데 어느 계절에 가야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</si>
  <si>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가장 동쪽에 있는 섬이며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역사적으로 우리나라 땅이 입증되었지만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일본과의 영토분쟁이 계속되고 있는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</si>
  <si>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강원도에 있으며 대한국민에서는 한라산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지리산에 이어 세 번째로 높은 산이고 가을이 되면 아름다운 단풍을 볼 수 있는 산은 어디입니까</t>
    </r>
    <r>
      <rPr>
        <sz val="10"/>
        <rFont val="Arial"/>
        <family val="0"/>
        <charset val="1"/>
      </rPr>
      <t xml:space="preserve">?</t>
    </r>
  </si>
  <si>
    <t xml:space="preserve">설악산</t>
  </si>
  <si>
    <r>
      <rPr>
        <sz val="10"/>
        <rFont val="Noto Sans CJK SC"/>
        <family val="2"/>
      </rPr>
      <t xml:space="preserve">주로 중국 북부나 몽골의 사막지대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황토 고원 등에서 바람에 날려 올라간 미세한 모래먼지가 대기 중에 퍼져서 하늘을 덮었다가 서서히 강하하는 현상 또는 강하하는 흙먼지를 말하는 것은 무엇입니까</t>
    </r>
    <r>
      <rPr>
        <sz val="10"/>
        <rFont val="Arial"/>
        <family val="0"/>
        <charset val="1"/>
      </rPr>
      <t xml:space="preserve">?</t>
    </r>
  </si>
  <si>
    <t xml:space="preserve">황사현상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</si>
  <si>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(107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</si>
  <si>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주변국가</t>
  </si>
  <si>
    <r>
      <rPr>
        <sz val="10"/>
        <rFont val="Noto Sans CJK SC"/>
        <family val="2"/>
      </rPr>
      <t xml:space="preserve">역사적으로 한자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불교 등 우리나라에 문화적으로 많은 영향을 준 나라는 어디입니까</t>
    </r>
    <r>
      <rPr>
        <sz val="10"/>
        <rFont val="Arial"/>
        <family val="0"/>
        <charset val="1"/>
      </rPr>
      <t xml:space="preserve">?</t>
    </r>
  </si>
  <si>
    <t xml:space="preserve">중국</t>
  </si>
  <si>
    <t xml:space="preserve">이웃 나라</t>
  </si>
  <si>
    <r>
      <rPr>
        <sz val="10"/>
        <rFont val="Noto Sans CJK SC"/>
        <family val="2"/>
      </rPr>
      <t xml:space="preserve">우리나라의 우방국가로서 군사적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정치적으로 긴밀한 관계를 맺고 있는 나라는 어디입니까</t>
    </r>
    <r>
      <rPr>
        <sz val="10"/>
        <rFont val="Arial"/>
        <family val="0"/>
        <charset val="1"/>
      </rPr>
      <t xml:space="preserve">?</t>
    </r>
  </si>
  <si>
    <t xml:space="preserve">미국</t>
  </si>
  <si>
    <r>
      <rPr>
        <sz val="10"/>
        <rFont val="Noto Sans CJK SC"/>
        <family val="2"/>
      </rPr>
      <t xml:space="preserve">과거 식민지 지배와 독도 문제로 갈등이 있으나 경제적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문화적 교류가 활발한 나라는 어디입니까</t>
    </r>
    <r>
      <rPr>
        <sz val="10"/>
        <rFont val="Arial"/>
        <family val="0"/>
        <charset val="1"/>
      </rPr>
      <t xml:space="preserve">?</t>
    </r>
  </si>
  <si>
    <t xml:space="preserve">일본</t>
  </si>
  <si>
    <r>
      <rPr>
        <sz val="10"/>
        <rFont val="Noto Sans CJK SC"/>
        <family val="2"/>
      </rPr>
      <t xml:space="preserve">한국과 중국과의 관계를 설명해봅시다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</si>
  <si>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역사적으로 한자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불교 등 우리나라에 문화적으로 많은 영향을 주었고 현재 최대 교역국이다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</si>
  <si>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한국과 일본과의 관계를 설명해봅시다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</si>
  <si>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과거 식민지 지배와 독도 문제로 우리나라와 갈등이 있으나 경제적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문화적 교류가 활발하다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</si>
  <si>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한국과 미국과의 관계를 설명해봅시다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</si>
  <si>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우리나라의 우방국가로서 군사적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정치적으로 긴밀한 관계를 맺고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</si>
  <si>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한국과 러시아와의 관계를 설명해봅시다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</si>
  <si>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 전쟁당시 북한을 지원하였지만 현재는 에너지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자원 등의 영역에서 서로 도움을 주고받으며 우호적인 관계를 이어가고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</si>
  <si>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한국과 밀접한 관계에 있는 주변국가에는 어떤 나라가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</si>
  <si>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러시아 등</t>
    </r>
  </si>
  <si>
    <r>
      <rPr>
        <sz val="10"/>
        <rFont val="Noto Sans CJK SC"/>
        <family val="2"/>
      </rPr>
      <t xml:space="preserve">우리나라와 밀접한 관계가 있는 주변국가로 어떤 나라가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</si>
  <si>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러시아</t>
    </r>
  </si>
  <si>
    <r>
      <rPr>
        <sz val="10"/>
        <rFont val="Noto Sans CJK SC"/>
        <family val="2"/>
      </rPr>
      <t xml:space="preserve">한국전쟁 당시 북한을 지원하였지만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현재는 에너지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자원 등의 영역에서 서로 도움을 주고 받으며 우호적인 관계를 이어가고 있는 나라는 어디입니까</t>
    </r>
    <r>
      <rPr>
        <sz val="10"/>
        <rFont val="Arial"/>
        <family val="0"/>
        <charset val="1"/>
      </rPr>
      <t xml:space="preserve">?</t>
    </r>
  </si>
  <si>
    <t xml:space="preserve">러시아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</si>
  <si>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(85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</si>
  <si>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우리나라와 일정한 관계에 있는 한반도 주변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국가 중 과거 식민지 지배와 독도 문제로 우리나라와 갈등이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경제적 문화적 교류가 활발한 곳은 어느 나라입니까</t>
    </r>
    <r>
      <rPr>
        <sz val="10"/>
        <rFont val="Arial"/>
        <family val="0"/>
        <charset val="1"/>
      </rPr>
      <t xml:space="preserve">?</t>
    </r>
  </si>
  <si>
    <t xml:space="preserve">명절</t>
  </si>
  <si>
    <r>
      <rPr>
        <sz val="10"/>
        <rFont val="Noto Sans CJK SC"/>
        <family val="2"/>
      </rPr>
      <t xml:space="preserve">명절에 지내는 제사를 무엇이라고 합니까</t>
    </r>
    <r>
      <rPr>
        <sz val="10"/>
        <rFont val="Arial"/>
        <family val="0"/>
        <charset val="1"/>
      </rPr>
      <t xml:space="preserve">?</t>
    </r>
  </si>
  <si>
    <t xml:space="preserve">차례</t>
  </si>
  <si>
    <t xml:space="preserve">year</t>
  </si>
  <si>
    <t xml:space="preserve">설날과 명절</t>
  </si>
  <si>
    <r>
      <rPr>
        <sz val="10"/>
        <rFont val="Noto Sans CJK SC"/>
        <family val="2"/>
      </rPr>
      <t xml:space="preserve">새해를 맞아 웃어른께 인사하는 절을 무엇이라고 합니까</t>
    </r>
    <r>
      <rPr>
        <sz val="10"/>
        <rFont val="Arial"/>
        <family val="0"/>
        <charset val="1"/>
      </rPr>
      <t xml:space="preserve">?</t>
    </r>
  </si>
  <si>
    <t xml:space="preserve">세배</t>
  </si>
  <si>
    <r>
      <rPr>
        <sz val="10"/>
        <rFont val="Noto Sans CJK SC"/>
        <family val="2"/>
      </rPr>
      <t xml:space="preserve">돌아가신 조상을 추모하는 것으로 설날이나 추석에 지내는 제사는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</si>
  <si>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설날에 깨끗한 옷이나 한복을 입고 웃어른께 새해 인사를 하면서 하는 절을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</si>
  <si>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명절을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</si>
  <si>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추석</t>
    </r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</si>
  <si>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온 식구들이 고향에 모여 차례를 지내고 성묘를 하는 우리나라의 명절은 무엇입니까</t>
    </r>
    <r>
      <rPr>
        <sz val="10"/>
        <rFont val="Arial"/>
        <family val="0"/>
        <charset val="1"/>
      </rPr>
      <t xml:space="preserve">?</t>
    </r>
  </si>
  <si>
    <t xml:space="preserve">추석</t>
  </si>
  <si>
    <t xml:space="preserve">day</t>
  </si>
  <si>
    <r>
      <rPr>
        <sz val="10"/>
        <rFont val="Noto Sans CJK SC"/>
        <family val="2"/>
      </rPr>
      <t xml:space="preserve">밤이 가장 길고 낮이 가장 짧은 날로 붉은 팥이 귀신을 쫓는다고 믿어 팥죽과 시루떡을 먹는 명절은 무엇입니까</t>
    </r>
    <r>
      <rPr>
        <sz val="10"/>
        <rFont val="Arial"/>
        <family val="0"/>
        <charset val="1"/>
      </rPr>
      <t xml:space="preserve">?</t>
    </r>
  </si>
  <si>
    <t xml:space="preserve">동지</t>
  </si>
  <si>
    <r>
      <rPr>
        <sz val="10"/>
        <rFont val="Noto Sans CJK SC"/>
        <family val="2"/>
      </rPr>
      <t xml:space="preserve">한 해가 시작되는 첫날로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해의 최초 명절이라는 의미로 인사하며 덕담을 나누는 풍습이 있는 명절은 무엇입니까</t>
    </r>
    <r>
      <rPr>
        <sz val="10"/>
        <rFont val="Arial"/>
        <family val="0"/>
        <charset val="1"/>
      </rPr>
      <t xml:space="preserve">?</t>
    </r>
  </si>
  <si>
    <t xml:space="preserve">설날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</si>
  <si>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명절의 하나로 일정 기간 불의 사용을 금하며 찬 음식을 먹는 고대 중국의 풍습에서 유래된 명절은 무엇입니까</t>
    </r>
    <r>
      <rPr>
        <sz val="10"/>
        <rFont val="Arial"/>
        <family val="0"/>
        <charset val="1"/>
      </rPr>
      <t xml:space="preserve">?</t>
    </r>
  </si>
  <si>
    <t xml:space="preserve">한식</t>
  </si>
  <si>
    <r>
      <rPr>
        <sz val="10"/>
        <rFont val="Noto Sans CJK SC"/>
        <family val="2"/>
      </rPr>
      <t xml:space="preserve">팔월의 한가운데 날이라는 뜻을 지니고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한가위라고도 부르며 햅쌀과 햇과일로 차례를 지내는 명절은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</si>
  <si>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가을에 수확한 곡식을 조상님께 올리고 그 해 농사에 대해 감사하는 풍습이 있는 명절은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</si>
  <si>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단오떡을 해 먹으며 여자는 창포물에 머리를 감고 그네를 뛰며 남자는 씨름을 하면서 하루를 보내는 명절은 무엇입니까</t>
    </r>
    <r>
      <rPr>
        <sz val="10"/>
        <rFont val="Arial"/>
        <family val="0"/>
        <charset val="1"/>
      </rPr>
      <t xml:space="preserve">?</t>
    </r>
  </si>
  <si>
    <t xml:space="preserve">단오</t>
  </si>
  <si>
    <r>
      <rPr>
        <sz val="10"/>
        <rFont val="Noto Sans CJK SC"/>
        <family val="2"/>
      </rPr>
      <t xml:space="preserve">정월대보름 전날에 논둑이나 밭둑의 마른 풀을 태우면서 농작물을 해치는 벌레들을 죽이고 다음 농사의 거름이 되게 하던 민속 놀이는 무엇입니까</t>
    </r>
    <r>
      <rPr>
        <sz val="10"/>
        <rFont val="Arial"/>
        <family val="0"/>
        <charset val="1"/>
      </rPr>
      <t xml:space="preserve">?</t>
    </r>
  </si>
  <si>
    <t xml:space="preserve">쥐불놀이</t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</si>
  <si>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가장 큰 보름이라는 뜻으로 보름달을 보며 소원을 빌며 부럼 깨물기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달집태우기 등을 하고 오곡밥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약밥 등을 먹는 명절은 무엇입니까</t>
    </r>
    <r>
      <rPr>
        <sz val="10"/>
        <rFont val="Arial"/>
        <family val="0"/>
        <charset val="1"/>
      </rPr>
      <t xml:space="preserve">?</t>
    </r>
  </si>
  <si>
    <t xml:space="preserve">정월대보름</t>
  </si>
  <si>
    <r>
      <rPr>
        <sz val="10"/>
        <rFont val="Noto Sans CJK SC"/>
        <family val="2"/>
      </rPr>
      <t xml:space="preserve">정월 대보름날 이른 아침에 한 해 동안의 각종 부스럼을 예방하고 이를 튼튼하게 하려는 뜻으로 날밤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호두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은행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잣 등 견과류를 어금니로 깨무는 풍속을 무엇이라고 합니까</t>
    </r>
    <r>
      <rPr>
        <sz val="10"/>
        <rFont val="Arial"/>
        <family val="0"/>
        <charset val="1"/>
      </rPr>
      <t xml:space="preserve">?</t>
    </r>
  </si>
  <si>
    <t xml:space="preserve">부럼깨기</t>
  </si>
  <si>
    <t xml:space="preserve">국경일</t>
  </si>
  <si>
    <r>
      <rPr>
        <sz val="10"/>
        <rFont val="Noto Sans CJK SC"/>
        <family val="2"/>
      </rPr>
      <t xml:space="preserve">어린이날은 누가 만들었습니까</t>
    </r>
    <r>
      <rPr>
        <sz val="10"/>
        <rFont val="Arial"/>
        <family val="0"/>
        <charset val="1"/>
      </rPr>
      <t xml:space="preserve">?</t>
    </r>
  </si>
  <si>
    <t xml:space="preserve">방정환</t>
  </si>
  <si>
    <t xml:space="preserve">나라의 큰 날들</t>
  </si>
  <si>
    <r>
      <rPr>
        <sz val="10"/>
        <rFont val="Noto Sans CJK SC"/>
        <family val="2"/>
      </rPr>
      <t xml:space="preserve">단군왕검이 고조선을 세운 것을 기념하는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</si>
  <si>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개천절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</si>
  <si>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정부가 특정한 날을 지정해 기념하는 날을 무엇이라고 합니까</t>
    </r>
    <r>
      <rPr>
        <sz val="10"/>
        <rFont val="Arial"/>
        <family val="0"/>
        <charset val="1"/>
      </rPr>
      <t xml:space="preserve">?</t>
    </r>
  </si>
  <si>
    <t xml:space="preserve">기념일</t>
  </si>
  <si>
    <r>
      <rPr>
        <sz val="10"/>
        <rFont val="Noto Sans CJK SC"/>
        <family val="2"/>
      </rPr>
      <t xml:space="preserve">국가적인 경사를 축하하기 위해 법으로 정한 날을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</si>
  <si>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제헌절에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</si>
  <si>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1948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 대한민국 최초의 헌법을 제정하고 공포한 것을 기념하는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</si>
  <si>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광복절에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</si>
  <si>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빛을 다시 찾은 날이라는 뜻으로 </t>
    </r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한국이 일본의 식민지배에서 벗어나 독립을 맞이한 것을 기념하는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</si>
  <si>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개천절에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</si>
  <si>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한민족의 조상인 단군이 우리나라 최초의 민족국가인 고조선을 세운 것을 기념하는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</si>
  <si>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한글날에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</si>
  <si>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대한민국의 문자인 한글을 만들어 세상에 알린 것과 한글의 우수성을 기념하는 날입니다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한글은 유네스코에 등재되어 있는데 과학적이고 독창적이어서 가히 세계 최고의 문자라 자랑할만하다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</si>
  <si>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식목일에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</si>
  <si>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나무를 많이 심고 아껴 가꾸도록 권장하기 위해 제정된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</si>
  <si>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현충일에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</si>
  <si>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나라를 위해 목숨을 바친 순국선열의 명복을 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충절을 추모하기 위해 제정된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</si>
  <si>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어버이날에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</si>
  <si>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어버이 은혜에 감사하며 부모님의 가슴에 카네이션을 달아드리는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</si>
  <si>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 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</si>
  <si>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어린이들이 바르고 아름답게 자라나도록 하기 위한 마음으로 제정한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</si>
  <si>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스승의 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</si>
  <si>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스승의 은혜에 감사하는 마음을 가지도록 지정한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</si>
  <si>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국군의 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</si>
  <si>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군대의 창설과 발전을 기념하여 정한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</si>
  <si>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근로자의 날에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</si>
  <si>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근로자의 노고를 위로하고 사기를 복돋아 주기 위하여 정한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</si>
  <si>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삼일절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대해 설명해보세요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</si>
  <si>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일제의 식민 지배에 저항하여 </t>
    </r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전국적으로 독립 만세 운동이 일어난 날을 기념하는 날입니다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</si>
  <si>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군대의 창설과 발전을 기념하여 정한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</si>
  <si>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국군의 날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</si>
  <si>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스승의 은혜에 감사하는 마음을 가지도록 지정한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</si>
  <si>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스승의 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</si>
  <si>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단군이 최초의 국가인 고조선을 건국한 것을 기념하는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</si>
  <si>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나무를 많이 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아껴 가꾸도록 권장하기 위해 제정된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</si>
  <si>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식목일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</si>
  <si>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1948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 대한민국 헌법 공포를 기념하는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</si>
  <si>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제헌절</t>
    </r>
    <r>
      <rPr>
        <sz val="10"/>
        <rFont val="Arial"/>
        <family val="0"/>
        <charset val="1"/>
      </rPr>
      <t xml:space="preserve">(7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</si>
  <si>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근로자의 노고를 위로하고 사기를 복돋아 주기 위하여 정한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</si>
  <si>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근로자의 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</si>
  <si>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아버이 은혜에 감사하며 부모님의 가슴에 카네이션을 달아드리는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</si>
  <si>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어버이날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</si>
  <si>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어린이들이 바르고 아름답게 자라나도록 하기 위한 마음으로 제정된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</si>
  <si>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어린이날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</si>
  <si>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세종대왕이 한글을 만든 것을 기념하고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한글의 우수성을 기리기 위한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</si>
  <si>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한글날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</si>
  <si>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나라를 위해 목숨을 바친 순국선열의 명복을 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충절을 추모하기 위해 제정된 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</si>
  <si>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현충일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</si>
  <si>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 일본으로부터 해방된 것을 기념하고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대한민국 정부 수립을 축하하는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</si>
  <si>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광복절</t>
    </r>
    <r>
      <rPr>
        <sz val="10"/>
        <rFont val="Arial"/>
        <family val="0"/>
        <charset val="1"/>
      </rPr>
      <t xml:space="preserve">(8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</si>
  <si>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 한국이 일본으로부터 독립한 것을 기념하기 위해 제정된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</si>
  <si>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일본의 지배에 저항하고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독립선언서를 발표하여 한국의 독립의사를 세계에 알린 날을 기념하는 국경일은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</si>
  <si>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삼일절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</si>
  <si>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(68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보통</t>
    </r>
  </si>
  <si>
    <r>
      <rPr>
        <sz val="10"/>
        <rFont val="Noto Sans CJK SC"/>
        <family val="2"/>
      </rPr>
      <t xml:space="preserve">나라를 지키기 위해 목숨을 바친 이의 충성을 기념하기 위한 날로 태극기를 깃봉에서 깃면에 세로만큼 내려 게양하는 날은 무엇입니까</t>
    </r>
    <r>
      <rPr>
        <sz val="10"/>
        <rFont val="Arial"/>
        <family val="0"/>
        <charset val="1"/>
      </rPr>
      <t xml:space="preserve">?</t>
    </r>
  </si>
  <si>
    <t xml:space="preserve">전통 음식</t>
  </si>
  <si>
    <r>
      <rPr>
        <sz val="10"/>
        <rFont val="Noto Sans CJK SC"/>
        <family val="2"/>
      </rPr>
      <t xml:space="preserve">설날에 먹는 음식은 무엇입니까</t>
    </r>
    <r>
      <rPr>
        <sz val="10"/>
        <rFont val="Arial"/>
        <family val="0"/>
        <charset val="1"/>
      </rPr>
      <t xml:space="preserve">?</t>
    </r>
  </si>
  <si>
    <t xml:space="preserve">떡국</t>
  </si>
  <si>
    <t xml:space="preserve">철따라 먹는 것</t>
  </si>
  <si>
    <r>
      <rPr>
        <sz val="10"/>
        <rFont val="Noto Sans CJK SC"/>
        <family val="2"/>
      </rPr>
      <t xml:space="preserve">추석에 먹는 음식은 무엇입니까</t>
    </r>
    <r>
      <rPr>
        <sz val="10"/>
        <rFont val="Arial"/>
        <family val="0"/>
        <charset val="1"/>
      </rPr>
      <t xml:space="preserve">?</t>
    </r>
  </si>
  <si>
    <t xml:space="preserve">송편</t>
  </si>
  <si>
    <r>
      <rPr>
        <sz val="10"/>
        <rFont val="Noto Sans CJK SC"/>
        <family val="2"/>
      </rPr>
      <t xml:space="preserve">콩을 발효시켜 만든 정통음식은 무엇입니까</t>
    </r>
    <r>
      <rPr>
        <sz val="10"/>
        <rFont val="Arial"/>
        <family val="0"/>
        <charset val="1"/>
      </rPr>
      <t xml:space="preserve">?</t>
    </r>
  </si>
  <si>
    <t xml:space="preserve">된장</t>
  </si>
  <si>
    <r>
      <rPr>
        <sz val="10"/>
        <rFont val="Noto Sans CJK SC"/>
        <family val="2"/>
      </rPr>
      <t xml:space="preserve">전통적으로 결혼식에 가면 먹게 되는 음식은 무엇입니까</t>
    </r>
    <r>
      <rPr>
        <sz val="10"/>
        <rFont val="Arial"/>
        <family val="0"/>
        <charset val="1"/>
      </rPr>
      <t xml:space="preserve">?</t>
    </r>
  </si>
  <si>
    <t xml:space="preserve">국수</t>
  </si>
  <si>
    <r>
      <rPr>
        <sz val="10"/>
        <rFont val="Noto Sans CJK SC"/>
        <family val="2"/>
      </rPr>
      <t xml:space="preserve">김치찌개를 끓일 때 필요한 재료는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</si>
  <si>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김치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돼지고기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 등</t>
    </r>
  </si>
  <si>
    <r>
      <rPr>
        <sz val="10"/>
        <rFont val="Noto Sans CJK SC"/>
        <family val="2"/>
      </rPr>
      <t xml:space="preserve">콩으로 만든 메주를 주재료로 하여 만드는 전통 양념은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</si>
  <si>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밥을 엿기름으로 삭혀서 달고 시원하게 마시던 전통 음료는 무엇입니까</t>
    </r>
    <r>
      <rPr>
        <sz val="10"/>
        <rFont val="Arial"/>
        <family val="0"/>
        <charset val="1"/>
      </rPr>
      <t xml:space="preserve">?</t>
    </r>
  </si>
  <si>
    <t xml:space="preserve">식혜</t>
  </si>
  <si>
    <r>
      <rPr>
        <sz val="10"/>
        <rFont val="Noto Sans CJK SC"/>
        <family val="2"/>
      </rPr>
      <t xml:space="preserve">겨울 동안 먹기 위해 김치를 한꺼번에 많이 담그는 일을 무엇이라고 합니까</t>
    </r>
    <r>
      <rPr>
        <sz val="10"/>
        <rFont val="Arial"/>
        <family val="0"/>
        <charset val="1"/>
      </rPr>
      <t xml:space="preserve">?</t>
    </r>
  </si>
  <si>
    <t xml:space="preserve">김장</t>
  </si>
  <si>
    <r>
      <rPr>
        <sz val="10"/>
        <rFont val="Noto Sans CJK SC"/>
        <family val="2"/>
      </rPr>
      <t xml:space="preserve">밥에 나물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고기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고명 등을 넣어 참기름과 양념으로 비빈 밥인 이 음식은 무엇입니까</t>
    </r>
    <r>
      <rPr>
        <sz val="10"/>
        <rFont val="Arial"/>
        <family val="0"/>
        <charset val="1"/>
      </rPr>
      <t xml:space="preserve">?</t>
    </r>
  </si>
  <si>
    <t xml:space="preserve">비빔밥</t>
  </si>
  <si>
    <r>
      <rPr>
        <sz val="10"/>
        <rFont val="Noto Sans CJK SC"/>
        <family val="2"/>
      </rPr>
      <t xml:space="preserve">된장찌개를 끓일 때 필요한 재료는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</si>
  <si>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된장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멸치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 등</t>
    </r>
  </si>
  <si>
    <r>
      <rPr>
        <sz val="10"/>
        <rFont val="Noto Sans CJK SC"/>
        <family val="2"/>
      </rPr>
      <t xml:space="preserve">미역으로 끓인 국으로 출산 이후 빨리 회복되기 위해서 주로 먹는 음식은 무엇입니까</t>
    </r>
    <r>
      <rPr>
        <sz val="10"/>
        <rFont val="Arial"/>
        <family val="0"/>
        <charset val="1"/>
      </rPr>
      <t xml:space="preserve">?</t>
    </r>
  </si>
  <si>
    <t xml:space="preserve">미역국</t>
  </si>
  <si>
    <r>
      <rPr>
        <sz val="10"/>
        <rFont val="Noto Sans CJK SC"/>
        <family val="2"/>
      </rPr>
      <t xml:space="preserve">우리나라 고유의 겉옷으로 한국 복식에서 외출할 때 가장 위에 입는 옷은 무엇입니까</t>
    </r>
    <r>
      <rPr>
        <sz val="10"/>
        <rFont val="Arial"/>
        <family val="0"/>
        <charset val="1"/>
      </rPr>
      <t xml:space="preserve">?</t>
    </r>
  </si>
  <si>
    <t xml:space="preserve">두루마기</t>
  </si>
  <si>
    <r>
      <rPr>
        <sz val="10"/>
        <rFont val="Noto Sans CJK SC"/>
        <family val="2"/>
      </rPr>
      <t xml:space="preserve">볏짚으로 새끼를 꼬아 날을 삼고 총과 돌기총으로 울을 삼아 만든 신발은 무엇입니까</t>
    </r>
    <r>
      <rPr>
        <sz val="10"/>
        <rFont val="Arial"/>
        <family val="0"/>
        <charset val="1"/>
      </rPr>
      <t xml:space="preserve">?</t>
    </r>
  </si>
  <si>
    <t xml:space="preserve">짚신</t>
  </si>
  <si>
    <r>
      <rPr>
        <sz val="10"/>
        <rFont val="Noto Sans CJK SC"/>
        <family val="2"/>
      </rPr>
      <t xml:space="preserve">쇠고기 등을 얇게 저며서 양념에 재웠다가 불에 구워 먹는 요리인 이 음식은 무엇입니까</t>
    </r>
    <r>
      <rPr>
        <sz val="10"/>
        <rFont val="Arial"/>
        <family val="0"/>
        <charset val="1"/>
      </rPr>
      <t xml:space="preserve">?</t>
    </r>
  </si>
  <si>
    <t xml:space="preserve">불고기</t>
  </si>
  <si>
    <r>
      <rPr>
        <sz val="10"/>
        <rFont val="Noto Sans CJK SC"/>
        <family val="2"/>
      </rPr>
      <t xml:space="preserve">찹쌀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차조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붉은팥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찰수수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검은콩 등을 섞어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가지 곡식으로 지은 밥으로 정월 대보름에 먹는 음식은 무엇입니까</t>
    </r>
    <r>
      <rPr>
        <sz val="10"/>
        <rFont val="Arial"/>
        <family val="0"/>
        <charset val="1"/>
      </rPr>
      <t xml:space="preserve">?</t>
    </r>
  </si>
  <si>
    <t xml:space="preserve">오곡밥</t>
  </si>
  <si>
    <r>
      <rPr>
        <sz val="10"/>
        <rFont val="Noto Sans CJK SC"/>
        <family val="2"/>
      </rPr>
      <t xml:space="preserve">옛날 어른이 된 남자가 머리에 쓰던 의관으로 테가 넓고 둥근 모양인 이것은 무엇입니까</t>
    </r>
    <r>
      <rPr>
        <sz val="10"/>
        <rFont val="Arial"/>
        <family val="0"/>
        <charset val="1"/>
      </rPr>
      <t xml:space="preserve">?</t>
    </r>
  </si>
  <si>
    <t xml:space="preserve">갓</t>
  </si>
  <si>
    <r>
      <rPr>
        <sz val="10"/>
        <rFont val="Noto Sans CJK SC"/>
        <family val="2"/>
      </rPr>
      <t xml:space="preserve">천으로 발 모양과 비슷하게 만들어 발을 따뜻하게 하고 맵시 있게 신는 것은 무엇입니까</t>
    </r>
    <r>
      <rPr>
        <sz val="10"/>
        <rFont val="Arial"/>
        <family val="0"/>
        <charset val="1"/>
      </rPr>
      <t xml:space="preserve">?</t>
    </r>
  </si>
  <si>
    <t xml:space="preserve">버선</t>
  </si>
  <si>
    <r>
      <rPr>
        <sz val="10"/>
        <rFont val="Noto Sans CJK SC"/>
        <family val="2"/>
      </rPr>
      <t xml:space="preserve">찹쌀에 고춧가루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엿기름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메줏가루 등을 섞어 발표시킨 한국의 전통 조미료는 무엇입니까</t>
    </r>
    <r>
      <rPr>
        <sz val="10"/>
        <rFont val="Arial"/>
        <family val="0"/>
        <charset val="1"/>
      </rPr>
      <t xml:space="preserve">?</t>
    </r>
  </si>
  <si>
    <t xml:space="preserve">고추장</t>
  </si>
  <si>
    <r>
      <rPr>
        <sz val="10"/>
        <rFont val="Noto Sans CJK SC"/>
        <family val="2"/>
      </rPr>
      <t xml:space="preserve">팥을 푹 삶아서 체에 으깨어 거른 물에 쌀을 넣고 쑨 죽으로 동짓날에 먹는 음식은 무엇입니까</t>
    </r>
    <r>
      <rPr>
        <sz val="10"/>
        <rFont val="Arial"/>
        <family val="0"/>
        <charset val="1"/>
      </rPr>
      <t xml:space="preserve">?</t>
    </r>
  </si>
  <si>
    <t xml:space="preserve">팥죽</t>
  </si>
  <si>
    <r>
      <rPr>
        <sz val="10"/>
        <rFont val="Noto Sans CJK SC"/>
        <family val="2"/>
      </rPr>
      <t xml:space="preserve">일 년 중 밤이 가장 긴 날인 동지의 대표적인 음식으로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귀신을 쫓는다는 의미가 들어 있는 음식은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</si>
  <si>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고유한 옷으로 격식을 차리는 자리나 명절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경사 등에 입는 전통적인 옷은 무엇입니까</t>
    </r>
    <r>
      <rPr>
        <sz val="10"/>
        <rFont val="Arial"/>
        <family val="0"/>
        <charset val="1"/>
      </rPr>
      <t xml:space="preserve">?</t>
    </r>
  </si>
  <si>
    <t xml:space="preserve">한복</t>
  </si>
  <si>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세기 후반에는 일본 조선 중국 동아시아 교역의 핵심이 되었고 뿌리 모양 사람처럼 생긴 약초는 무엇입니까</t>
    </r>
    <r>
      <rPr>
        <sz val="10"/>
        <rFont val="Arial"/>
        <family val="0"/>
        <charset val="1"/>
      </rPr>
      <t xml:space="preserve">?</t>
    </r>
  </si>
  <si>
    <t xml:space="preserve">인삼</t>
  </si>
  <si>
    <r>
      <rPr>
        <sz val="10"/>
        <rFont val="Noto Sans CJK SC"/>
        <family val="2"/>
      </rPr>
      <t xml:space="preserve">혼인한 남자의 전통적인 머리모양으로 머리카락을 모두 올려 정수리 위에 틀어 감아 맨 것을 무엇이라고 합니까</t>
    </r>
    <r>
      <rPr>
        <sz val="10"/>
        <rFont val="Arial"/>
        <family val="0"/>
        <charset val="1"/>
      </rPr>
      <t xml:space="preserve">?</t>
    </r>
  </si>
  <si>
    <t xml:space="preserve">상투</t>
  </si>
  <si>
    <r>
      <rPr>
        <sz val="10"/>
        <rFont val="Noto Sans CJK SC"/>
        <family val="2"/>
      </rPr>
      <t xml:space="preserve">대표적인 채소 발효 식품으로 소금에 절인 배추와 무 등을 고춧가루 등의 양념에 버무려 만드는 음식은 무엇입니까</t>
    </r>
    <r>
      <rPr>
        <sz val="10"/>
        <rFont val="Arial"/>
        <family val="0"/>
        <charset val="1"/>
      </rPr>
      <t xml:space="preserve">?</t>
    </r>
  </si>
  <si>
    <t xml:space="preserve">김치</t>
  </si>
  <si>
    <r>
      <rPr>
        <sz val="10"/>
        <rFont val="Noto Sans CJK SC"/>
        <family val="2"/>
      </rPr>
      <t xml:space="preserve">우리나라 음식 중 보리밥 또는 쌀밥에 나물과 여러가지 재료와 고추장을 넣어 비벼 먹는 음식의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</si>
  <si>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멥쌀가루를 익반죽하여 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깨 등을 넣고 반달 모양으로 빚어 솔잎을 깔고 찐 떡으로 추석에 먹는 음식은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</si>
  <si>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생강이나 계피를 달인 물에 설탕이나 꿀을 넣고 끓여서 식힌 다음 기호에 따라 곶감이나 잣을 띄워 마신 전통 음료는 무엇입니까</t>
    </r>
    <r>
      <rPr>
        <sz val="10"/>
        <rFont val="Arial"/>
        <family val="0"/>
        <charset val="1"/>
      </rPr>
      <t xml:space="preserve">?</t>
    </r>
  </si>
  <si>
    <t xml:space="preserve">수정과</t>
  </si>
  <si>
    <r>
      <rPr>
        <sz val="10"/>
        <rFont val="Noto Sans CJK SC"/>
        <family val="2"/>
      </rPr>
      <t xml:space="preserve">닭에 인삼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찹쌀 등을 넣어서 고아 만드는 음식으로 원기를 돕는다하여 여름철 복날에 가장 많이 먹는 보양식은 무엇입니까</t>
    </r>
    <r>
      <rPr>
        <sz val="10"/>
        <rFont val="Arial"/>
        <family val="0"/>
        <charset val="1"/>
      </rPr>
      <t xml:space="preserve">?</t>
    </r>
  </si>
  <si>
    <t xml:space="preserve">삼계탕</t>
  </si>
  <si>
    <r>
      <rPr>
        <sz val="10"/>
        <rFont val="Noto Sans CJK SC"/>
        <family val="2"/>
      </rPr>
      <t xml:space="preserve">가래떡을 어슷썰기로 얇게 썰어 장국에 넣고 끓인 음식으로 주로 설날에 먹으며 이것을 먹으면 한 살 더 먹는다고 생각하는 음식은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</si>
  <si>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부녀자들이 예복을 입을 때에 머리에 쓰던 것으로 위는 대게 육각 모양이며 아래는 둥글고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보통 비단으로 만들고 구슬로 꾸민 것은 무엇입니까</t>
    </r>
    <r>
      <rPr>
        <sz val="10"/>
        <rFont val="Arial"/>
        <family val="0"/>
        <charset val="1"/>
      </rPr>
      <t xml:space="preserve">?</t>
    </r>
  </si>
  <si>
    <t xml:space="preserve">족두리</t>
  </si>
  <si>
    <r>
      <rPr>
        <sz val="10"/>
        <rFont val="Noto Sans CJK SC"/>
        <family val="2"/>
      </rPr>
      <t xml:space="preserve">유밀과의 하나로 밀가루를 꿀이나 설탕에 반죽하여 납작하게 만들어서 기름에 튀겨 물들인 것으로 흔히 잔칫상이나 제사상에 놓는 우리나라의 전통 과자는 무엇입니까</t>
    </r>
    <r>
      <rPr>
        <sz val="10"/>
        <rFont val="Arial"/>
        <family val="0"/>
        <charset val="1"/>
      </rPr>
      <t xml:space="preserve">?</t>
    </r>
  </si>
  <si>
    <t xml:space="preserve">한과</t>
  </si>
  <si>
    <r>
      <rPr>
        <sz val="10"/>
        <rFont val="Noto Sans CJK SC"/>
        <family val="2"/>
      </rPr>
      <t xml:space="preserve">말이나 메밀과 같은 곡물을 가루 내어 반죽한 것을 가늘게 만든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국물에 말거나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비비거나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볶아 먹는 음식의 총칭으로 전통적으로 결혼식에 가면 먹게 되는 음식은 무엇입니까</t>
    </r>
    <r>
      <rPr>
        <sz val="10"/>
        <rFont val="Arial"/>
        <family val="0"/>
        <charset val="1"/>
      </rPr>
      <t xml:space="preserve">?</t>
    </r>
  </si>
  <si>
    <t xml:space="preserve">전통 놀이</t>
  </si>
  <si>
    <r>
      <rPr>
        <sz val="10"/>
        <rFont val="Noto Sans CJK SC"/>
        <family val="2"/>
      </rPr>
      <t xml:space="preserve">줄 위에서 노래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곡예를 하며 재미있게 얘기하는 전통 예술은</t>
    </r>
    <r>
      <rPr>
        <sz val="10"/>
        <rFont val="Arial"/>
        <family val="0"/>
        <charset val="1"/>
      </rPr>
      <t xml:space="preserve">?</t>
    </r>
  </si>
  <si>
    <t xml:space="preserve">줄타기</t>
  </si>
  <si>
    <t xml:space="preserve">모여서 노는 것</t>
  </si>
  <si>
    <r>
      <rPr>
        <sz val="10"/>
        <rFont val="Noto Sans CJK SC"/>
        <family val="2"/>
      </rPr>
      <t xml:space="preserve">제기를 바닥에 떨어뜨리지 않고 발로 차는 전통 놀이는 무엇입니까</t>
    </r>
    <r>
      <rPr>
        <sz val="10"/>
        <rFont val="Arial"/>
        <family val="0"/>
        <charset val="1"/>
      </rPr>
      <t xml:space="preserve">?</t>
    </r>
  </si>
  <si>
    <t xml:space="preserve">제기차기</t>
  </si>
  <si>
    <r>
      <rPr>
        <sz val="10"/>
        <rFont val="Noto Sans CJK SC"/>
        <family val="2"/>
      </rPr>
      <t xml:space="preserve">훈련된 매를 이용하여 사냥하는 것을 말하며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북부 지방에서 전래</t>
    </r>
    <r>
      <rPr>
        <sz val="10"/>
        <rFont val="Arial"/>
        <family val="0"/>
        <charset val="1"/>
      </rPr>
      <t xml:space="preserve">?</t>
    </r>
  </si>
  <si>
    <t xml:space="preserve">매사냥</t>
  </si>
  <si>
    <r>
      <rPr>
        <sz val="10"/>
        <rFont val="Noto Sans CJK SC"/>
        <family val="2"/>
      </rPr>
      <t xml:space="preserve">남자들로 구성되어 떠돌아다니면서 공연하던 서민들이 즐기던 대표적인 놀이는</t>
    </r>
    <r>
      <rPr>
        <sz val="10"/>
        <rFont val="Arial"/>
        <family val="0"/>
        <charset val="1"/>
      </rPr>
      <t xml:space="preserve">?</t>
    </r>
  </si>
  <si>
    <t xml:space="preserve">남사당놀이</t>
  </si>
  <si>
    <r>
      <rPr>
        <sz val="10"/>
        <rFont val="Noto Sans CJK SC"/>
        <family val="2"/>
      </rPr>
      <t xml:space="preserve">한국 전통 놀이를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</si>
  <si>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강강술래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줄다리기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씨름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윷놀이 등</t>
    </r>
  </si>
  <si>
    <r>
      <rPr>
        <sz val="10"/>
        <rFont val="Noto Sans CJK SC"/>
        <family val="2"/>
      </rPr>
      <t xml:space="preserve">많은 인원이 두 편으로 나뉘어 양쪽에서 줄을당겨 승패를 겨루는 경기는 무엇입니까</t>
    </r>
    <r>
      <rPr>
        <sz val="10"/>
        <rFont val="Arial"/>
        <family val="0"/>
        <charset val="1"/>
      </rPr>
      <t xml:space="preserve">?</t>
    </r>
  </si>
  <si>
    <t xml:space="preserve">줄다리기</t>
  </si>
  <si>
    <r>
      <rPr>
        <sz val="10"/>
        <rFont val="Noto Sans CJK SC"/>
        <family val="2"/>
      </rPr>
      <t xml:space="preserve">춤과 같은 율동적인 동작으로 발로 차거나 걸어서 상대방을 쓰러뜨리는 전통 무술은</t>
    </r>
    <r>
      <rPr>
        <sz val="10"/>
        <rFont val="Arial"/>
        <family val="0"/>
        <charset val="1"/>
      </rPr>
      <t xml:space="preserve">?</t>
    </r>
  </si>
  <si>
    <t xml:space="preserve">택견</t>
  </si>
  <si>
    <t xml:space="preserve">처용의 가면을 쓰고 추는 무용으로 새해를 맞으며 악귀를 몰아내고 왕실의 평화를 기원</t>
  </si>
  <si>
    <t xml:space="preserve">처용무</t>
  </si>
  <si>
    <r>
      <rPr>
        <sz val="10"/>
        <rFont val="Noto Sans CJK SC"/>
        <family val="2"/>
      </rPr>
      <t xml:space="preserve">두 패로 나누어 굵은 줄을 서로 당겨 자기편으로 끌어온 쪽이 이기는 전통 놀이는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</si>
  <si>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추석에 하는 민속놀이를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</si>
  <si>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강강술래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줄다리기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가마싸움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</si>
  <si>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개의 윷가락을 던지고 그 결과에 따라 말을 사용하여 승부를 겨루는 전통 놀이는 무엇입니까</t>
    </r>
    <r>
      <rPr>
        <sz val="10"/>
        <rFont val="Arial"/>
        <family val="0"/>
        <charset val="1"/>
      </rPr>
      <t xml:space="preserve">?</t>
    </r>
  </si>
  <si>
    <t xml:space="preserve">윷놀이</t>
  </si>
  <si>
    <r>
      <rPr>
        <sz val="10"/>
        <rFont val="Noto Sans CJK SC"/>
        <family val="2"/>
      </rPr>
      <t xml:space="preserve">음력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강릉에서 열리는 향토제례 의식으로 산길의 안전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풍작과 풍어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집안의 태평 등을 기원</t>
    </r>
  </si>
  <si>
    <t xml:space="preserve">강릉단오제</t>
  </si>
  <si>
    <r>
      <rPr>
        <sz val="10"/>
        <rFont val="Noto Sans CJK SC"/>
        <family val="2"/>
      </rPr>
      <t xml:space="preserve">추석에 주로 하는 전통 놀이로 여자들이 손에 손을 잡고 원을 만들어서 돌며 놀이를 하는 것은 무엇입니까</t>
    </r>
    <r>
      <rPr>
        <sz val="10"/>
        <rFont val="Arial"/>
        <family val="0"/>
        <charset val="1"/>
      </rPr>
      <t xml:space="preserve">?</t>
    </r>
  </si>
  <si>
    <t xml:space="preserve">강강술래</t>
  </si>
  <si>
    <r>
      <rPr>
        <sz val="10"/>
        <rFont val="Noto Sans CJK SC"/>
        <family val="2"/>
      </rPr>
      <t xml:space="preserve">설날에 하는 전통 놀이를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</si>
  <si>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윷놀이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연날리기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제기차기</t>
    </r>
  </si>
  <si>
    <r>
      <rPr>
        <sz val="10"/>
        <rFont val="Noto Sans CJK SC"/>
        <family val="2"/>
      </rPr>
      <t xml:space="preserve">여러 사람이 편을 갈라서 줄을 마주 잡고 당겨 힘을 겨루는 놀이로 협동심과 단결력을 기르는 전통 놀이는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</si>
  <si>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두 사람이 샅바를 잡고 힘과 기술을 겨루어 상대를 넘어뜨리는 것으로 승부를 겨루는 우리나라 전통 놀이는 무엇입니까</t>
    </r>
    <r>
      <rPr>
        <sz val="10"/>
        <rFont val="Arial"/>
        <family val="0"/>
        <charset val="1"/>
      </rPr>
      <t xml:space="preserve">?</t>
    </r>
  </si>
  <si>
    <t xml:space="preserve">씨름</t>
  </si>
  <si>
    <r>
      <rPr>
        <sz val="10"/>
        <rFont val="Noto Sans CJK SC"/>
        <family val="2"/>
      </rPr>
      <t xml:space="preserve">밝은 보름달이 뜬 밤에 수십 명의 마을 처녀들이 모여서 손을 맞잡아 둥글게 원을 만들어 돌던 전통 놀이는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</si>
  <si>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임진왜란 때 우리 군사가 많아 보이게 하려고 여러 사람이 동그랗게 사서 함께 손을 잡고 원을 그리며 빙빙 돌면서 노래하던 것에서 유래한 놀이는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</si>
  <si>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가야금 등의 반주가 따르는 우리나라 정통 성악곡으로 조선사회의 지식층에서 애창되면서 발전된 것으로 일반 백성들에 의해서 전해지는 판소리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민요와 구분되는 것은</t>
    </r>
    <r>
      <rPr>
        <sz val="10"/>
        <rFont val="Arial"/>
        <family val="0"/>
        <charset val="1"/>
      </rPr>
      <t xml:space="preserve">?</t>
    </r>
  </si>
  <si>
    <t xml:space="preserve">가곡</t>
  </si>
  <si>
    <r>
      <rPr>
        <sz val="10"/>
        <rFont val="Noto Sans CJK SC"/>
        <family val="2"/>
      </rPr>
      <t xml:space="preserve">남녀노소가 함께하는 놀이이며 네 개의 윷가락을 던져 나온 결과로 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모를 정해서 말을 움직여 모든 말이 먼저 최종점을 통과하면 이기는 민속놀이는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</si>
  <si>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(97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</si>
  <si>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전통 예술</t>
  </si>
  <si>
    <r>
      <rPr>
        <sz val="10"/>
        <rFont val="Noto Sans CJK SC"/>
        <family val="2"/>
      </rPr>
      <t xml:space="preserve">옛날 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메주 등을 가루로 갈았던 기구는 무엇입니까</t>
    </r>
    <r>
      <rPr>
        <sz val="10"/>
        <rFont val="Arial"/>
        <family val="0"/>
        <charset val="1"/>
      </rPr>
      <t xml:space="preserve">?</t>
    </r>
  </si>
  <si>
    <t xml:space="preserve">맷돌</t>
  </si>
  <si>
    <t xml:space="preserve">듣고 보는 것</t>
  </si>
  <si>
    <r>
      <rPr>
        <sz val="10"/>
        <rFont val="Noto Sans CJK SC"/>
        <family val="2"/>
      </rPr>
      <t xml:space="preserve">꽹과리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장구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징의 네가지 악기를 가지고 연주하도록 편성한 음악은 무엇입니까</t>
    </r>
    <r>
      <rPr>
        <sz val="10"/>
        <rFont val="Arial"/>
        <family val="0"/>
        <charset val="1"/>
      </rPr>
      <t xml:space="preserve">?</t>
    </r>
  </si>
  <si>
    <t xml:space="preserve">사물놀이</t>
  </si>
  <si>
    <r>
      <rPr>
        <sz val="10"/>
        <rFont val="Noto Sans CJK SC"/>
        <family val="2"/>
      </rPr>
      <t xml:space="preserve">우리나라 대표적인 민요로 구전으로 전승되고 재창조되어 오고 있는 것은 무엇입니까</t>
    </r>
    <r>
      <rPr>
        <sz val="10"/>
        <rFont val="Arial"/>
        <family val="0"/>
        <charset val="1"/>
      </rPr>
      <t xml:space="preserve">?</t>
    </r>
  </si>
  <si>
    <t xml:space="preserve">아리랑</t>
  </si>
  <si>
    <r>
      <rPr>
        <sz val="10"/>
        <rFont val="Noto Sans CJK SC"/>
        <family val="2"/>
      </rPr>
      <t xml:space="preserve">한국 고유의 기법으로 뜬 독특한 종이로 닥나무 껍질을 원료로 만든 이것은 무엇입니까</t>
    </r>
    <r>
      <rPr>
        <sz val="10"/>
        <rFont val="Arial"/>
        <family val="0"/>
        <charset val="1"/>
      </rPr>
      <t xml:space="preserve">?</t>
    </r>
  </si>
  <si>
    <t xml:space="preserve">한지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</si>
  <si>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아리랑을 말해보세요</t>
    </r>
  </si>
  <si>
    <r>
      <rPr>
        <sz val="10"/>
        <rFont val="Noto Sans CJK SC"/>
        <family val="2"/>
      </rPr>
      <t xml:space="preserve">정선아리랑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밀양아리랑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진도아리랑</t>
    </r>
  </si>
  <si>
    <r>
      <rPr>
        <sz val="10"/>
        <rFont val="Noto Sans CJK SC"/>
        <family val="2"/>
      </rPr>
      <t xml:space="preserve">아이를 낳은 후 허약해진 몸과 마음을 출산 전의 몸 상태로 회복시키기 위해 보살피는 문화는 무엇입니까</t>
    </r>
    <r>
      <rPr>
        <sz val="10"/>
        <rFont val="Arial"/>
        <family val="0"/>
        <charset val="1"/>
      </rPr>
      <t xml:space="preserve">?</t>
    </r>
  </si>
  <si>
    <t xml:space="preserve">산후조리</t>
  </si>
  <si>
    <r>
      <rPr>
        <sz val="10"/>
        <rFont val="Noto Sans CJK SC"/>
        <family val="2"/>
      </rPr>
      <t xml:space="preserve">유연하고 율동적인 춤과 같은 동작으로 상대를 공격하거나 다리를 걸어 넘어뜨리는 한국 전통 무술은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</si>
  <si>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명의 소리꾼이 북치는 사람의 장단에 맞추어 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몸짓을 섞어가며 이야기를 풀어내는 공연 예술은 무엇입니까</t>
    </r>
    <r>
      <rPr>
        <sz val="10"/>
        <rFont val="Arial"/>
        <family val="0"/>
        <charset val="1"/>
      </rPr>
      <t xml:space="preserve">?</t>
    </r>
  </si>
  <si>
    <t xml:space="preserve">판소리</t>
  </si>
  <si>
    <r>
      <rPr>
        <sz val="10"/>
        <rFont val="Noto Sans CJK SC"/>
        <family val="2"/>
      </rPr>
      <t xml:space="preserve">매화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난초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국화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대나무 등 네 가지 식물을 일컫는 말로 고결함을 상징으로 하는 문인화의 대표적 소재인 이것은 무엇입니까</t>
    </r>
    <r>
      <rPr>
        <sz val="10"/>
        <rFont val="Arial"/>
        <family val="0"/>
        <charset val="1"/>
      </rPr>
      <t xml:space="preserve">?</t>
    </r>
  </si>
  <si>
    <t xml:space="preserve">사군자</t>
  </si>
  <si>
    <r>
      <rPr>
        <sz val="10"/>
        <rFont val="Noto Sans CJK SC"/>
        <family val="2"/>
      </rPr>
      <t xml:space="preserve">곡식을 가는 데 쓰는 기구로 둥글넓적한 돌 두 짝을 포개고 윗돌에 갈 곡식을 넣으면서 손잡이를 돌려서 가는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</si>
  <si>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올림픽 종목으로 채택된 우리나라의 전통 운동으로 손과 발 등을 사용하여 차기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지르기 등의 기술을 구사하는 운동은 무엇입니까</t>
    </r>
    <r>
      <rPr>
        <sz val="10"/>
        <rFont val="Arial"/>
        <family val="0"/>
        <charset val="1"/>
      </rPr>
      <t xml:space="preserve">?</t>
    </r>
  </si>
  <si>
    <t xml:space="preserve">태권도</t>
  </si>
  <si>
    <r>
      <rPr>
        <sz val="10"/>
        <rFont val="Noto Sans CJK SC"/>
        <family val="2"/>
      </rPr>
      <t xml:space="preserve">순수한 우리 음악이며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예술의 결집체인 종합예술로서 북장단에 맞추어 이야기의 줄거리를 노래로 진행하는 우리나라 고유의 음악 장르는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</si>
  <si>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임신 중에 태아에게 좋은 영향을 주기 위해 모든 일에 대해서 조심해야 하고 나쁜 생각이나 거친 행동을 삼가며 편안한 마음으로 지내야 한다는 태중 교육은 무엇입니까</t>
    </r>
    <r>
      <rPr>
        <sz val="10"/>
        <rFont val="Arial"/>
        <family val="0"/>
        <charset val="1"/>
      </rPr>
      <t xml:space="preserve">?</t>
    </r>
  </si>
  <si>
    <t xml:space="preserve">태교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</si>
  <si>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(91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</si>
  <si>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r>
      <rPr>
        <sz val="10"/>
        <rFont val="Noto Sans CJK SC"/>
        <family val="2"/>
      </rPr>
      <t xml:space="preserve">한 사람 이상의 연기자가 가면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얼굴이나 머리 전체를 가린 채 다른 인물이나 동물 등의 역할을 맡아 극적인 장면을 연출하는 극의 형태를 말하는 것은 무엇입니까</t>
    </r>
    <r>
      <rPr>
        <sz val="10"/>
        <rFont val="Arial"/>
        <family val="0"/>
        <charset val="1"/>
      </rPr>
      <t xml:space="preserve">?</t>
    </r>
  </si>
  <si>
    <t xml:space="preserve">탈춤</t>
  </si>
  <si>
    <r>
      <rPr>
        <sz val="10"/>
        <rFont val="Noto Sans CJK SC"/>
        <family val="2"/>
      </rPr>
      <t xml:space="preserve">우리나라 고유의 무술로 손과 발을 이용해 공격 또는 방어하는 무도로 신체 단력을 위한 목적과 함께 정신적 무장을 통한 올바른 정신 수양을 중요시하는 데 큰 의미를 두고 있는 것은 무엇입니까</t>
    </r>
    <r>
      <rPr>
        <sz val="10"/>
        <rFont val="Arial"/>
        <family val="0"/>
        <charset val="1"/>
      </rPr>
      <t xml:space="preserve">?</t>
    </r>
  </si>
  <si>
    <t xml:space="preserve">전통 가옥</t>
  </si>
  <si>
    <r>
      <rPr>
        <sz val="10"/>
        <rFont val="Noto Sans CJK SC"/>
        <family val="2"/>
      </rPr>
      <t xml:space="preserve">우리나라 고유의 형식으로 지은 집을 무엇이라고 합니까</t>
    </r>
    <r>
      <rPr>
        <sz val="10"/>
        <rFont val="Arial"/>
        <family val="0"/>
        <charset val="1"/>
      </rPr>
      <t xml:space="preserve">?</t>
    </r>
  </si>
  <si>
    <t xml:space="preserve">한옥</t>
  </si>
  <si>
    <t xml:space="preserve">사는 집</t>
  </si>
  <si>
    <r>
      <rPr>
        <sz val="10"/>
        <rFont val="Noto Sans CJK SC"/>
        <family val="2"/>
      </rPr>
      <t xml:space="preserve">우리나라 고유의 난방구조로 구들을 통해 온기를 전하는 난방장치는 무엇입니까</t>
    </r>
    <r>
      <rPr>
        <sz val="10"/>
        <rFont val="Arial"/>
        <family val="0"/>
        <charset val="1"/>
      </rPr>
      <t xml:space="preserve">?</t>
    </r>
  </si>
  <si>
    <t xml:space="preserve">온돌</t>
  </si>
  <si>
    <r>
      <rPr>
        <sz val="10"/>
        <rFont val="Noto Sans CJK SC"/>
        <family val="2"/>
      </rPr>
      <t xml:space="preserve">우리나라 전통 난방방식으로 바닥에 구들을 깔고 불을 지펴 돌을 달구어 난방하는 우리 고유의 주거 문화는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</si>
  <si>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전통 가옥으로 난방을 위한 온돌과 마루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처마가 있어 더위와 추위를 해결할 수 있는 집은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</si>
  <si>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한옥 외벽 경계선 바깥쪽으로 노출된 지붕의 일부분으로 비바람으로부터 벽체를 보호하고 뜨거운 볕을 가려주는 것은 무엇입니까</t>
    </r>
    <r>
      <rPr>
        <sz val="10"/>
        <rFont val="Arial"/>
        <family val="0"/>
        <charset val="1"/>
      </rPr>
      <t xml:space="preserve">?</t>
    </r>
  </si>
  <si>
    <t xml:space="preserve">처마</t>
  </si>
  <si>
    <r>
      <rPr>
        <sz val="10"/>
        <rFont val="Noto Sans CJK SC"/>
        <family val="2"/>
      </rPr>
      <t xml:space="preserve">지면으로부터 일정한 높이로 들어 올린 방과 방 사이의 넓은 공간이며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습기나 지열 혹은 해충이나 짐승을 피하기위해 거주 공간을 구성한 것은 무엇입니까</t>
    </r>
    <r>
      <rPr>
        <sz val="10"/>
        <rFont val="Arial"/>
        <family val="0"/>
        <charset val="1"/>
      </rPr>
      <t xml:space="preserve">?</t>
    </r>
  </si>
  <si>
    <t xml:space="preserve">마루</t>
  </si>
  <si>
    <r>
      <rPr>
        <sz val="10"/>
        <rFont val="Noto Sans CJK SC"/>
        <family val="2"/>
      </rPr>
      <t xml:space="preserve">아궁이에 불을 때면 열기가 방바닥 아래의 빈 공간을 지나면서 구들장을 덥히고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따뜻해진 구들장의 열기가 방 전체에 전달되는 과정을 통해 난방이 되는 장치를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</si>
  <si>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지붕을 이는 데에 쓰기 위하여 흙을 굽거나 시멘트 따위를 굳혀서 만든 건축 자재이며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눈과 빗물의 침수를 차단하고 이를 흘러내리게 하여 지붕 재목의 부식을 방지함과 동시에 건물의 경관과 차장을 위하여 사용되는 것은 무엇입니까</t>
    </r>
    <r>
      <rPr>
        <sz val="10"/>
        <rFont val="Arial"/>
        <family val="0"/>
        <charset val="1"/>
      </rPr>
      <t xml:space="preserve">?</t>
    </r>
  </si>
  <si>
    <t xml:space="preserve">기와</t>
  </si>
  <si>
    <r>
      <rPr>
        <sz val="10"/>
        <rFont val="Noto Sans CJK SC"/>
        <family val="2"/>
      </rPr>
      <t xml:space="preserve">질문 김</t>
    </r>
    <r>
      <rPr>
        <sz val="10"/>
        <rFont val="Arial"/>
        <family val="0"/>
        <charset val="1"/>
      </rPr>
      <t xml:space="preserve">(126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정답 외우기 쉬움</t>
    </r>
  </si>
  <si>
    <t xml:space="preserve">전통 의상</t>
  </si>
  <si>
    <r>
      <rPr>
        <sz val="10"/>
        <rFont val="Noto Sans CJK SC"/>
        <family val="2"/>
      </rPr>
      <t xml:space="preserve">직선과 약간의 곡선이 조화를 이루어 아름다운 우리나라 고유의 의복은 무엇입니까</t>
    </r>
    <r>
      <rPr>
        <sz val="10"/>
        <rFont val="Arial"/>
        <family val="0"/>
        <charset val="1"/>
      </rPr>
      <t xml:space="preserve">?</t>
    </r>
  </si>
  <si>
    <t xml:space="preserve">입는 옷</t>
  </si>
  <si>
    <t xml:space="preserve">줄기</t>
  </si>
  <si>
    <t xml:space="preserve">문항 수</t>
  </si>
  <si>
    <t xml:space="preserve">쉬움 비율</t>
  </si>
  <si>
    <t xml:space="preserve">시간 이야기</t>
  </si>
  <si>
    <t xml:space="preserve">살아가는 이야기</t>
  </si>
  <si>
    <t xml:space="preserve">나라의 뼈대</t>
  </si>
  <si>
    <t xml:space="preserve">한 해의 이야기</t>
  </si>
  <si>
    <t xml:space="preserve">합계</t>
  </si>
  <si>
    <t xml:space="preserve">뜻</t>
  </si>
  <si>
    <r>
      <rPr>
        <sz val="10"/>
        <rFont val="Noto Sans CJK SC"/>
        <family val="2"/>
      </rPr>
      <t xml:space="preserve">뜻풀이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답이 설명 문장</t>
    </r>
    <r>
      <rPr>
        <sz val="10"/>
        <rFont val="Arial"/>
        <family val="0"/>
        <charset val="1"/>
      </rPr>
      <t xml:space="preserve">)</t>
    </r>
  </si>
  <si>
    <t xml:space="preserve">여러 항목</t>
  </si>
  <si>
    <r>
      <rPr>
        <sz val="10"/>
        <rFont val="Noto Sans CJK SC"/>
        <family val="2"/>
      </rPr>
      <t xml:space="preserve">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숫자</t>
    </r>
  </si>
  <si>
    <t xml:space="preserve">사람</t>
  </si>
  <si>
    <t xml:space="preserve">나라와 땅</t>
  </si>
  <si>
    <r>
      <rPr>
        <sz val="10"/>
        <rFont val="Noto Sans CJK SC"/>
        <family val="2"/>
      </rPr>
      <t xml:space="preserve">기념일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명절</t>
    </r>
  </si>
  <si>
    <r>
      <rPr>
        <sz val="10"/>
        <rFont val="Noto Sans CJK SC"/>
        <family val="2"/>
      </rPr>
      <t xml:space="preserve">사건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전쟁</t>
    </r>
  </si>
  <si>
    <r>
      <rPr>
        <sz val="10"/>
        <rFont val="Noto Sans CJK SC"/>
        <family val="2"/>
      </rPr>
      <t xml:space="preserve">물건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옷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상징</t>
    </r>
  </si>
  <si>
    <r>
      <rPr>
        <sz val="10"/>
        <rFont val="Noto Sans CJK SC"/>
        <family val="2"/>
      </rPr>
      <t xml:space="preserve">문화유산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옛이야기</t>
    </r>
  </si>
  <si>
    <r>
      <rPr>
        <sz val="10"/>
        <rFont val="Noto Sans CJK SC"/>
        <family val="2"/>
      </rPr>
      <t xml:space="preserve">제도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권리</t>
    </r>
  </si>
  <si>
    <r>
      <rPr>
        <sz val="10"/>
        <rFont val="Noto Sans CJK SC"/>
        <family val="2"/>
      </rPr>
      <t xml:space="preserve">생활 절차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호칭</t>
    </r>
  </si>
  <si>
    <r>
      <rPr>
        <b val="true"/>
        <sz val="10"/>
        <rFont val="Noto Sans CJK SC"/>
        <family val="2"/>
      </rPr>
      <t xml:space="preserve">난이도 규칙 </t>
    </r>
    <r>
      <rPr>
        <b val="true"/>
        <sz val="10"/>
        <rFont val="Arial"/>
        <family val="0"/>
        <charset val="1"/>
      </rPr>
      <t xml:space="preserve">(70</t>
    </r>
    <r>
      <rPr>
        <b val="true"/>
        <sz val="10"/>
        <rFont val="Noto Sans CJK SC"/>
        <family val="2"/>
      </rPr>
      <t xml:space="preserve">세 기준</t>
    </r>
    <r>
      <rPr>
        <b val="true"/>
        <sz val="10"/>
        <rFont val="Arial"/>
        <family val="0"/>
        <charset val="1"/>
      </rPr>
      <t xml:space="preserve">)</t>
    </r>
  </si>
  <si>
    <t xml:space="preserve">질문 길이</t>
  </si>
  <si>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자 이하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· 36~60</t>
    </r>
    <r>
      <rPr>
        <sz val="10"/>
        <rFont val="Noto Sans CJK SC"/>
        <family val="2"/>
      </rPr>
      <t xml:space="preserve">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· 61</t>
    </r>
    <r>
      <rPr>
        <sz val="10"/>
        <rFont val="Noto Sans CJK SC"/>
        <family val="2"/>
      </rPr>
      <t xml:space="preserve">자 이상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</t>
    </r>
  </si>
  <si>
    <t xml:space="preserve">정답 부담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</si>
  <si>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자 이하 낱말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조금 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길거나 여럿이거나 뜻풀이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</t>
    </r>
  </si>
  <si>
    <r>
      <rPr>
        <sz val="10"/>
        <rFont val="Arial"/>
        <family val="0"/>
        <charset val="1"/>
      </rPr>
      <t xml:space="preserve">0~1</t>
    </r>
    <r>
      <rPr>
        <sz val="10"/>
        <rFont val="Noto Sans CJK SC"/>
        <family val="2"/>
      </rPr>
      <t xml:space="preserve">점 하 </t>
    </r>
    <r>
      <rPr>
        <sz val="10"/>
        <rFont val="Arial"/>
        <family val="0"/>
        <charset val="1"/>
      </rPr>
      <t xml:space="preserve">· 2~3</t>
    </r>
    <r>
      <rPr>
        <sz val="10"/>
        <rFont val="Noto Sans CJK SC"/>
        <family val="2"/>
      </rPr>
      <t xml:space="preserve">점 중 </t>
    </r>
    <r>
      <rPr>
        <sz val="10"/>
        <rFont val="Arial"/>
        <family val="0"/>
        <charset val="1"/>
      </rPr>
      <t xml:space="preserve">· 4</t>
    </r>
    <r>
      <rPr>
        <sz val="10"/>
        <rFont val="Noto Sans CJK SC"/>
        <family val="2"/>
      </rPr>
      <t xml:space="preserve">점 상</t>
    </r>
  </si>
  <si>
    <t xml:space="preserve">마디 안 순서</t>
  </si>
  <si>
    <r>
      <rPr>
        <sz val="10"/>
        <rFont val="Noto Sans CJK SC"/>
        <family val="2"/>
      </rPr>
      <t xml:space="preserve">쉬움 </t>
    </r>
    <r>
      <rPr>
        <sz val="10"/>
        <rFont val="Arial"/>
        <family val="0"/>
        <charset val="1"/>
      </rPr>
      <t xml:space="preserve">4 : </t>
    </r>
    <r>
      <rPr>
        <sz val="10"/>
        <rFont val="Noto Sans CJK SC"/>
        <family val="2"/>
      </rPr>
      <t xml:space="preserve">어려움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로 번갈아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 풀든 </t>
    </r>
    <r>
      <rPr>
        <sz val="10"/>
        <rFont val="Arial"/>
        <family val="0"/>
        <charset val="1"/>
      </rPr>
      <t xml:space="preserve">8:2</t>
    </r>
    <r>
      <rPr>
        <sz val="10"/>
        <rFont val="Noto Sans CJK SC"/>
        <family val="2"/>
      </rPr>
      <t xml:space="preserve">가 유지됩니다</t>
    </r>
    <r>
      <rPr>
        <sz val="10"/>
        <rFont val="Arial"/>
        <family val="0"/>
        <charset val="1"/>
      </rPr>
      <t xml:space="preserve">.</t>
    </r>
  </si>
  <si>
    <t xml:space="preserve">확신 높음</t>
  </si>
  <si>
    <t xml:space="preserve">정답 자체가 목록에 있거나 모양이 분명함</t>
  </si>
  <si>
    <t xml:space="preserve">확신 보통</t>
  </si>
  <si>
    <t xml:space="preserve">카테고리와 낱말로 미루어 정함</t>
  </si>
  <si>
    <t xml:space="preserve">확신 낮음</t>
  </si>
  <si>
    <r>
      <rPr>
        <sz val="10"/>
        <rFont val="Noto Sans CJK SC"/>
        <family val="2"/>
      </rPr>
      <t xml:space="preserve">근거가 약함 — 노란 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눈으로 확인 필요</t>
    </r>
  </si>
  <si>
    <t xml:space="preserve">이번에 고친 것</t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</si>
  <si>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뺀 칸</t>
    </r>
  </si>
  <si>
    <r>
      <rPr>
        <sz val="10"/>
        <rFont val="Noto Sans CJK SC"/>
        <family val="2"/>
      </rPr>
      <t xml:space="preserve">「문제 유형」과 「난이도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」을 지웠습니다</t>
    </r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</si>
  <si>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빈 카테고리</t>
    </r>
  </si>
  <si>
    <r>
      <rPr>
        <sz val="10"/>
        <rFont val="Arial"/>
        <family val="0"/>
        <charset val="1"/>
      </rPr>
      <t xml:space="preserve">132</t>
    </r>
    <r>
      <rPr>
        <sz val="10"/>
        <rFont val="Noto Sans CJK SC"/>
        <family val="2"/>
      </rPr>
      <t xml:space="preserve">줄 중 정답이 있는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줄을 내용으로 채웠습니다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대부분 유네스코 유산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사법부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</si>
  <si>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세부 이름</t>
    </r>
  </si>
  <si>
    <r>
      <rPr>
        <sz val="10"/>
        <rFont val="Noto Sans CJK SC"/>
        <family val="2"/>
      </rPr>
      <t xml:space="preserve">「전통음식→전통 음식」「정통 의상→전통 의상」「전통 가옥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집</t>
    </r>
    <r>
      <rPr>
        <sz val="10"/>
        <rFont val="Arial"/>
        <family val="0"/>
        <charset val="1"/>
      </rPr>
      <t xml:space="preserve">)→</t>
    </r>
    <r>
      <rPr>
        <sz val="10"/>
        <rFont val="Noto Sans CJK SC"/>
        <family val="2"/>
      </rPr>
      <t xml:space="preserve">전통 가옥」「한국전쟁</t>
    </r>
    <r>
      <rPr>
        <sz val="10"/>
        <rFont val="Arial"/>
        <family val="0"/>
        <charset val="1"/>
      </rPr>
      <t xml:space="preserve">(6.25)→</t>
    </r>
    <r>
      <rPr>
        <sz val="10"/>
        <rFont val="Noto Sans CJK SC"/>
        <family val="2"/>
      </rPr>
      <t xml:space="preserve">한국전쟁」「전통 문화→전통 예술」</t>
    </r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</si>
  <si>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「일반」 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</si>
  <si>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화폐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주변국가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시대 순서로 옮겼습니다</t>
    </r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</si>
  <si>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복지제도</t>
    </r>
  </si>
  <si>
    <t xml:space="preserve">「법」에서 「제도와 생활」로 옮겼습니다</t>
  </si>
  <si>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정답 없는 문항</t>
    </r>
  </si>
  <si>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줄을 「정답 없음」 시트로 옮겼습니다 — 문제로 낼 수 없습니다</t>
    </r>
  </si>
  <si>
    <t xml:space="preserve">만든 방법</t>
  </si>
  <si>
    <r>
      <rPr>
        <sz val="10"/>
        <rFont val="Arial"/>
        <family val="0"/>
        <charset val="1"/>
      </rPr>
      <t xml:space="preserve">AnswerKind·</t>
    </r>
    <r>
      <rPr>
        <sz val="10"/>
        <rFont val="Noto Sans CJK SC"/>
        <family val="2"/>
      </rPr>
      <t xml:space="preserve">난이도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이야기 배치 모두 규칙으로 자동 부여했습니다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사람이 하나씩 매긴 것이 아닙니다</t>
    </r>
    <r>
      <rPr>
        <sz val="10"/>
        <rFont val="Arial"/>
        <family val="0"/>
        <charset val="1"/>
      </rPr>
      <t xml:space="preserve">.</t>
    </r>
  </si>
  <si>
    <t xml:space="preserve">출처</t>
  </si>
  <si>
    <r>
      <rPr>
        <sz val="10"/>
        <rFont val="Noto Sans CJK SC"/>
        <family val="2"/>
      </rPr>
      <t xml:space="preserve">귀화 문제집 </t>
    </r>
    <r>
      <rPr>
        <sz val="10"/>
        <rFont val="Arial"/>
        <family val="0"/>
        <charset val="1"/>
      </rPr>
      <t xml:space="preserve">20250518.numbers</t>
    </r>
  </si>
  <si>
    <t xml:space="preserve">원래 번호</t>
  </si>
  <si>
    <r>
      <rPr>
        <sz val="10"/>
        <rFont val="Noto Sans CJK SC"/>
        <family val="2"/>
      </rPr>
      <t xml:space="preserve">대동여지도를 만든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</si>
  <si>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홍길동전을 만든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</si>
  <si>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한인애국단 소속으로 일본에서 일왕을 시해하려다 실패한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</si>
  <si>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말이 다치고 궁내대신의 마차가 뒤집어 졌으나 히로히토는 다치지 않아 거사는 실패로 돌아갔습니다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</si>
  <si>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한국이 분단된 결정적인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</si>
  <si>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6.25 </t>
    </r>
    <r>
      <rPr>
        <sz val="10"/>
        <rFont val="Noto Sans CJK SC"/>
        <family val="2"/>
      </rPr>
      <t xml:space="preserve">전쟁의 자료를 보존하고 추모하기 위해 만들어진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</si>
  <si>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선과 휴전선은 어떻게 다른가요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</si>
  <si>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남부대륙에 있는 큰 산으로 세 개의 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전라남도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전라북도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경상남도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걸쳐 있는 두 번째로 높은 산은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</si>
  <si>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대통령의 집무실 청와대는 서울 어디에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</si>
  <si>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자신의 정치적인 의도를 밝히는 촛불 집회 사위 등과 같이 개인이 자유로운 자신의 의견을 주장할 수 있는 것은 헌번의 어떤 기본원리 때문입니까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</si>
  <si>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국가에서 지원하는 국가 복지서비스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바우처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한 장의 카드로 이용할 수 있는 카드는 어떤 카드입니까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</si>
  <si>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현재 국무총리는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</si>
  <si>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1936</t>
    </r>
    <r>
      <rPr>
        <sz val="10"/>
        <rFont val="Noto Sans CJK SC"/>
        <family val="2"/>
      </rPr>
      <t xml:space="preserve">년 베를린 올림픽 마라톤에서 금메달을 수상한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</si>
  <si>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대학에 가는 공부를 하는 곳은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</si>
  <si>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일제강점기 시절에 과학으로 민족의 힘을 키우고자 했던 과학자는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</si>
  <si>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북한 핵실험과 장거리 미사일 발사를 계기로 한반도에 배치가 이루어진 고고도 미사일 방어 체계를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</si>
  <si>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일제시대 때 우리나라의 독립을 위해 몸을 바쳐 일본과 싸운 것을 무슨 운동이라고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</si>
  <si>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다음 대통령 선거는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</si>
  <si>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다음 국회의원 선거는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</si>
  <si>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다음 주민대표 선거는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</si>
  <si>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한국에서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일 이상 거주하려는 외국인이 한국에 들어오면 출입국관리 사무소에서 발급하는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</si>
  <si>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태어나면서부터 가지게 되는 인간으로서 당연히 보호 받아야할 권리를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</si>
  <si>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법원 이외에 권리를 침해 당했을 때 권리를 보호받을 수 있는 기관에는 어떤 것들이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</si>
  <si>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카메라 등의 매체를 이용하여 상대방의 동의 없이 신체를 촬영하고 유포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유포협박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전시하거나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사이버 공간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미디어</t>
    </r>
    <r>
      <rPr>
        <sz val="10"/>
        <rFont val="Arial"/>
        <family val="0"/>
        <charset val="1"/>
      </rPr>
      <t xml:space="preserve">, SNS </t>
    </r>
    <r>
      <rPr>
        <sz val="10"/>
        <rFont val="Noto Sans CJK SC"/>
        <family val="2"/>
      </rPr>
      <t xml:space="preserve">등에서 진행하는 성적 괴롭힘은 무슨 범죄입니까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</si>
  <si>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목적이든 본인 명의 통장이나 신용카드를 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자에게 빌려주거나 양수한 경우 전자금융거래법 위반으로 최대 징역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2000</t>
    </r>
    <r>
      <rPr>
        <sz val="10"/>
        <rFont val="Noto Sans CJK SC"/>
        <family val="2"/>
      </rPr>
      <t xml:space="preserve">만원의 벌금형에 처할 수 있음은 무슨 범죄입니까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</si>
  <si>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저작료를 지불하지 않았거나 저작자에게 이용 허락을 받지 않은 상태에서 저작권이 있는 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주로 영화나 음악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불법적으로 내려받는 행위를 무슨 범죄입니까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</si>
  <si>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쓰레기 등을 아무 곳에나 버리는 행위는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</si>
  <si>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술에 취한 상태에서 운전하는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</si>
  <si>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운전면허 없이 운전하는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</si>
  <si>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지하철에서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회만 사용할 수 있는 교통카드의 보증금은 얼마입니까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</si>
  <si>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다른 은행을 감독하는 역할을 하는 우리나라의 중앙은행은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</si>
  <si>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은행 업무 시간은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</si>
  <si>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잡화 등 여러가지 물건이 모여있고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대체로 물건값이 싼편입니다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</si>
  <si>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열리는 시장을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</si>
  <si>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일에 한번 열리는 시장은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</si>
  <si>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일에 한번씩 열리는 시장은 뭡니까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</si>
  <si>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주로 과자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음료 등 식료품 위주로 판매 하며 집근처에 있어서 가깝고 편하게 이용할 수 있는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</si>
  <si>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의료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화장품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보석 등 상품의 종류가 다양하며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시설과 서비스가 좋고 품질이 좋으나 가격이 비싼 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</si>
  <si>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백화점처럼 식품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생활 용품 등 다양한 상품이 거래됩니다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가격은 백화점과 전통시장의 중간정도입니다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</si>
  <si>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텔레비전에서 상품 광고를 보고 즉시 전화나 인터넷으로 주문할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화장품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가전제품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여행상품 등 다양한 상품을 판매합니다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</si>
  <si>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인터넷을 이용해서 물건을 주문할 수 있는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</si>
  <si>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쇼핑하면 지불방식은 무엇이 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</si>
  <si>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최근에는 학교에 출석하지 않고 방송이나 인터넷 등을 통해 공부하는 대학교는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</si>
  <si>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장례식장에서 절을 어떻게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</si>
  <si>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장례식은 몇일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</si>
  <si>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유죄가 인정된 범죄인에게 무보수로 일정 기간 동안 지역 사회를 위한 봉사활동을 하도록 하는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</si>
  <si>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금융회사의 대출금이나 신용카드 이용대금을 제때 내지 못해 인증기간 대출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카드 발급 등 각종 금융거래 시제재 받게 되는 사람을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</si>
  <si>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환경보호를 위해서 어떤 일을 해야할지 말해보세요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</si>
  <si>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우리나라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계절 중 기온이 매우 낮고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눈도 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일반적으로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일은 춥고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일은 따뜻한 날씨를 보이는 계절은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</si>
  <si>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조선시대의 궁궐 중 하나로 아름다운 정원인 비원을 가지고 있는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</si>
  <si>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조선의 왕조의 유교적 전통인 왕실의 제례 문화를 보여주는 문화 유산으로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유네스코 세계문화 유산으로 지정된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</si>
  <si>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 정조 때 정약용의 거중기를 이용하여 경기도에 쌓은 성의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</si>
  <si>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줄 위에서 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곡예를 하며 재미있게 얘기하는 전통 예술은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</si>
  <si>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조선을 대표하는 학자 중 한명으로서 중국이나 일본까지도 이름이 알려졌던 인물로 고향에서 제자를 교육하고 학문을 연구하는데 인생을 바친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</si>
  <si>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자신의 학문을 통해 사회를 개혁하기 위해 많은 노력을 하였으며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일본의 침략을 막고자 미리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만명의 군대를 양성해야 한다고 주장했던 것으로 유명한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</si>
  <si>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세대가 하나의 건축물 안에서 독립된 주거생활을 할 수 있는 구조로 된 주택을 뭐라고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</si>
  <si>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가문의 계통과 혈통 관계를 적어 기록한 것을 뭐라고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</si>
  <si>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고조선에서 남에게 상처를 입힌 자는 곡식으로 갚아야 한다는 법은 어떤 법입니까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</si>
  <si>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광복을 위해 자신의 목숨을 바친 독립 운동가 세명 이상을 말해보세요</t>
    </r>
    <r>
      <rPr>
        <sz val="10"/>
        <rFont val="Arial"/>
        <family val="0"/>
        <charset val="1"/>
      </rPr>
      <t xml:space="preserve">.</t>
    </r>
  </si>
  <si>
    <t xml:space="preserve">상주를 위문하는 것</t>
  </si>
  <si>
    <r>
      <rPr>
        <sz val="10"/>
        <rFont val="Noto Sans CJK SC"/>
        <family val="2"/>
      </rPr>
      <t xml:space="preserve">제도여도 답이 제도가 붙지 않는 것들이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</si>
  <si>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만든이의 권리를 보호하여 문화를 발전시키는 것을 목적으로 하는 것은 무엇입니까</t>
    </r>
    <r>
      <rPr>
        <sz val="10"/>
        <rFont val="Arial"/>
        <family val="0"/>
        <charset val="1"/>
      </rPr>
      <t xml:space="preserve">?</t>
    </r>
  </si>
  <si>
    <t xml:space="preserve">노동 삼권이 필요한 이유</t>
  </si>
  <si>
    <r>
      <rPr>
        <sz val="10"/>
        <rFont val="Noto Sans CJK SC"/>
        <family val="2"/>
      </rPr>
      <t xml:space="preserve">저소득층의 생계를 보장하고 자립을 지원하기 위해 마련된 국가 책임의 종합적인 빈곤 대책 제도는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</si>
  <si>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안창호는 독립운동가로서 청년의 교육과 민족정신을 기르는데 힘쓰며 설립한 학교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</si>
  <si>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이미 무죄가 된 행위에 대하여는 형사상의 책임을 지지 않는 다는 것을 무엇이라고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</si>
  <si>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김구는 김구 선생이라고만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</si>
  <si>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국민의 질병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부상에 대한 예방 진단 치료 재활과 출산 사망 및 건강 증진에 대하여 보험 급여를 실시하는 기관은</t>
    </r>
    <r>
      <rPr>
        <sz val="10"/>
        <rFont val="Arial"/>
        <family val="0"/>
        <charset val="1"/>
      </rPr>
      <t xml:space="preserve">?</t>
    </r>
  </si>
  <si>
    <t xml:space="preserve">제일 북쪽에 있는 섬</t>
  </si>
  <si>
    <t xml:space="preserve">제일 서쪽에 있는 섬</t>
  </si>
  <si>
    <t xml:space="preserve">제일 동쪽에 있는 섬</t>
  </si>
  <si>
    <t xml:space="preserve">제일 남쪽에 있는 섬</t>
  </si>
  <si>
    <r>
      <rPr>
        <sz val="10"/>
        <rFont val="Arial"/>
        <family val="0"/>
        <charset val="1"/>
      </rPr>
      <t xml:space="preserve">6.25</t>
    </r>
    <r>
      <rPr>
        <sz val="10"/>
        <rFont val="Noto Sans CJK SC"/>
        <family val="2"/>
      </rPr>
      <t xml:space="preserve">를 상징하는 것 중 세 가지는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</si>
  <si>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판문점은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</si>
  <si>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대통령의 권한은 어떻게 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</si>
  <si>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판소리 연주 때 북을 사용하여 소리의 반주를 맡은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</si>
  <si>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재활용 가능한 쓰레기는 어떤 것들이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</si>
  <si>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아파서 병원에 갈 때 의료비의 일부를 지원 받을 수 있는 보험은 어떤 보험입니까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</si>
  <si>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천명의 결사대와 함께 마지막까지 백제를 위해 황산벌 전투에서 싸우다 장렬히 전사한 인물은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</si>
  <si>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 선조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(1583)</t>
    </r>
    <r>
      <rPr>
        <sz val="10"/>
        <rFont val="Noto Sans CJK SC"/>
        <family val="2"/>
      </rPr>
      <t xml:space="preserve">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율곡 이이가 임금에게 바친 </t>
    </r>
    <r>
      <rPr>
        <sz val="10"/>
        <rFont val="Arial"/>
        <family val="0"/>
        <charset val="1"/>
      </rPr>
      <t xml:space="preserve">&lt;&lt;</t>
    </r>
    <r>
      <rPr>
        <sz val="10"/>
        <rFont val="Noto Sans CJK SC"/>
        <family val="2"/>
      </rPr>
      <t xml:space="preserve">시무육조</t>
    </r>
    <r>
      <rPr>
        <sz val="10"/>
        <rFont val="Arial"/>
        <family val="0"/>
        <charset val="1"/>
      </rPr>
      <t xml:space="preserve">&gt;&gt; </t>
    </r>
    <r>
      <rPr>
        <sz val="10"/>
        <rFont val="Noto Sans CJK SC"/>
        <family val="2"/>
      </rPr>
      <t xml:space="preserve">가운데 하나로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십만 명의 군사를 양성해야 한다는 개혁안은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</si>
  <si>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일본제국이 대한제국에 제공한 차관 </t>
    </r>
    <r>
      <rPr>
        <sz val="10"/>
        <rFont val="Arial"/>
        <family val="0"/>
        <charset val="1"/>
      </rPr>
      <t xml:space="preserve">1,300</t>
    </r>
    <r>
      <rPr>
        <sz val="10"/>
        <rFont val="Noto Sans CJK SC"/>
        <family val="2"/>
      </rPr>
      <t xml:space="preserve">만엔을 국민들이 상환을 주도한 운동은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</si>
  <si>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지역의 대표들이 맡은 바 책임을 다하지 않았을 때 주민들의 투표를 통하여 자리에서 물러나게 하는 제도를 뭐라고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</si>
  <si>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절은 무슨 날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</si>
  <si>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형사 피고인이라도 유죄의 판결이 확정될 때까지는 무죄로 추정된다는 법은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</si>
  <si>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문화유산 중 세계기록 유산에 등재되어 있는 것은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</si>
  <si>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삼국시대 중 삼국 통일은 완성한 왕은 어느 나라의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</si>
  <si>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예식장에서 결혼식을 마치자마자 신랑 신부가 시댁 어른들에게 전통 방식으로 인사하는 말을 뭐라고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</si>
  <si>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판결의 집행을 해당 사건의 수사관에게 지휘하며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벌금의 징수 혹은 그 대신으로 행하는 강제노역장 유치 등의 집행을 감독하는 일을 하는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</si>
  <si>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한국의 법정 기념일인 성년의 날은 언제입니까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</si>
  <si>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의료비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교육비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 갑작스러운 지출에 대비하여 평소에 일정한 돈을 조금씩 납부하고 실제 위기가 발생했을 때 금전적으로 손해를 보상 받는 제도는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</si>
  <si>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우체국에서 우편물의 내용을 서면으로 증명해주는 제도로 발신자가 우편물의 기재 내용을 소송상의 증거 자료로 삼으려고 할 때 이용되는 것은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</si>
  <si>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대한민국의 광복을 위하여 임시로 조직한 정부이며 광복 때까지 항일 민족 중심 기관이었던 장소와 명칭을 뭐라고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</si>
  <si>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삼국을 통일한 나라는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</si>
  <si>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 고유의 난방구조로 구들을 통해 온기를 전하는 난방장치를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</si>
  <si>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병원에서 사용하는 보험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개를 말해보세요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</si>
  <si>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어린이 날을 만든 이유는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</si>
  <si>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판사가 분쟁을 해결하는 방식은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</si>
  <si>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재판의 판결이 아닌 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명령에 대한 불복절차 상소를 뜻하는 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</si>
  <si>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재판에 대한 불복신청을 포괄적으로 이르는 말은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</si>
  <si>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법원에 민사 소송을 제기한 사람을 어떻게 부릅니까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</si>
  <si>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심 법원 판결에 대한 불복신청을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</si>
  <si>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심 법원 판결에 대한 불복신청을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</si>
  <si>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일본에 영향을 준 삼국시대 나라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</si>
  <si>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김유신 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태종 무열왕릉 비 등의 문화재와 관계 있는 역사적 사건은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</si>
  <si>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우리나라의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명절을 말 해 보세요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</si>
  <si>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층간소음은 어떤 재판에서 해결하는가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</si>
  <si>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우리 나라에서 가장 긴 철도는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</si>
  <si>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행정부라고 부르는 곳은 어디입니까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</si>
  <si>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불국사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석굴암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다보탑은 언제 누가 만들었습니까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</si>
  <si>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국호를 대한제국으로 변경한 사람은 누구입니까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</si>
  <si>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조선시대의 왕과 왕비의 무덤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구의 왕릉이 있으며 세계문화유산으로 등재된 이곳의 이름은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</si>
  <si>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독도는 언제부터 우리 나라 영토였나요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</si>
  <si>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입시 위주의 문제를 보완하고자 만들어진 학교로서 학생 중심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체험 중심의 다양한 프로그램이 운영되고 있는 곳은 어떤 학교입니까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</si>
  <si>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조상이 돌아가신 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지내는 제사는 무엇입니까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</si>
  <si>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결혼은 언제부터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</si>
  <si>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선거에서 특정한 후보자를 당선시키기 위하여 시민들을 상대로 벌이는 여러 가지 활동이며 투표하기 전에 미리 선거운동을 하는 것을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</si>
  <si>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1960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일에 여당이었던 자유당 정권이 장기집권을 위해 선거에서 개표를 조작한 사건이었고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결국 이승만 대통령은 대통령직에서 물러났습니다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사건을 무엇이라고 합니까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</si>
  <si>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대한민국은 자유민주주의 국가입니다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국가가 정치 경제 등을 통제하는 체제를 사회주의 또는 공산주의라고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당신은 어떤 체제가 옳다고 생각하십니까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</si>
  <si>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대통령이 행정부의 고위 공직자를 임명할 때 국회의 검증 절차를 거치게 하는 제도를 무엇이라고 합니까</t>
    </r>
    <r>
      <rPr>
        <sz val="10"/>
        <rFont val="Arial"/>
        <family val="0"/>
        <charset val="1"/>
      </rPr>
      <t xml:space="preserve">?</t>
    </r>
  </si>
  <si>
    <r>
      <rPr>
        <i val="true"/>
        <sz val="10"/>
        <rFont val="Noto Sans CJK SC"/>
        <family val="2"/>
      </rPr>
      <t xml:space="preserve">문제집에 질문만 있고 정답이 비어 있던 줄입니다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정답을 채우면 「분류」로 옮길 수 있습니다</t>
    </r>
    <r>
      <rPr>
        <i val="true"/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</si>
</sst>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45CF4"/>
        <bgColor rgb="FF3366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45CF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745CF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4" min="13" style="0" width="8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customFormat="false" ht="15" hidden="false" customHeight="false" outlineLevel="0" collapsed="false">
      <c r="A2" s="3" t="n">
        <v>1</v>
      </c>
      <c r="B2" s="4" t="s">
        <v>14</v>
      </c>
      <c r="C2" s="4" t="s">
        <v>15</v>
      </c>
      <c r="D2" s="5" t="s">
        <v>16</v>
      </c>
      <c r="E2" s="4" t="s">
        <v>17</v>
      </c>
      <c r="F2" s="3" t="s">
        <v>18</v>
      </c>
      <c r="G2" s="4" t="s">
        <v>19</v>
      </c>
      <c r="H2" s="4" t="s">
        <v>20</v>
      </c>
      <c r="I2" s="4" t="s">
        <v>21</v>
      </c>
      <c r="J2" s="6" t="s">
        <v>22</v>
      </c>
      <c r="K2" s="6" t="n">
        <v>1</v>
      </c>
      <c r="L2" s="7" t="s">
        <v>23</v>
      </c>
      <c r="M2" s="6" t="n">
        <v>1</v>
      </c>
      <c r="N2" s="7" t="s">
        <v>24</v>
      </c>
    </row>
    <row r="3" customFormat="false" ht="15" hidden="false" customHeight="false" outlineLevel="0" collapsed="false">
      <c r="A3" s="6" t="n">
        <v>2</v>
      </c>
      <c r="B3" s="7" t="s">
        <v>14</v>
      </c>
      <c r="C3" s="7" t="s">
        <v>15</v>
      </c>
      <c r="D3" s="8" t="s">
        <v>25</v>
      </c>
      <c r="E3" s="7" t="s">
        <v>15</v>
      </c>
      <c r="F3" s="6" t="s">
        <v>26</v>
      </c>
      <c r="G3" s="7" t="s">
        <v>27</v>
      </c>
      <c r="H3" s="7" t="s">
        <v>20</v>
      </c>
      <c r="I3" s="7" t="s">
        <v>28</v>
      </c>
      <c r="J3" s="6" t="s">
        <v>22</v>
      </c>
      <c r="K3" s="6" t="n">
        <v>1</v>
      </c>
      <c r="L3" s="7" t="s">
        <v>23</v>
      </c>
      <c r="M3" s="6" t="n">
        <v>2</v>
      </c>
      <c r="N3" s="7" t="s">
        <v>24</v>
      </c>
    </row>
    <row r="4" customFormat="false" ht="15" hidden="false" customHeight="false" outlineLevel="0" collapsed="false">
      <c r="A4" s="6" t="n">
        <v>3</v>
      </c>
      <c r="B4" s="7" t="s">
        <v>14</v>
      </c>
      <c r="C4" s="7" t="s">
        <v>15</v>
      </c>
      <c r="D4" s="8" t="s">
        <v>29</v>
      </c>
      <c r="E4" s="7" t="s">
        <v>30</v>
      </c>
      <c r="F4" s="6" t="s">
        <v>31</v>
      </c>
      <c r="G4" s="7" t="s">
        <v>27</v>
      </c>
      <c r="H4" s="7" t="s">
        <v>20</v>
      </c>
      <c r="I4" s="7" t="s">
        <v>32</v>
      </c>
      <c r="J4" s="6" t="s">
        <v>22</v>
      </c>
      <c r="K4" s="6" t="n">
        <v>1</v>
      </c>
      <c r="L4" s="7" t="s">
        <v>23</v>
      </c>
      <c r="M4" s="6" t="n">
        <v>3</v>
      </c>
      <c r="N4" s="7" t="s">
        <v>24</v>
      </c>
    </row>
    <row r="5" customFormat="false" ht="15" hidden="false" customHeight="false" outlineLevel="0" collapsed="false">
      <c r="A5" s="6" t="n">
        <v>4</v>
      </c>
      <c r="B5" s="7" t="s">
        <v>14</v>
      </c>
      <c r="C5" s="7" t="s">
        <v>15</v>
      </c>
      <c r="D5" s="8" t="s">
        <v>33</v>
      </c>
      <c r="E5" s="7" t="s">
        <v>30</v>
      </c>
      <c r="F5" s="6" t="s">
        <v>31</v>
      </c>
      <c r="G5" s="7" t="s">
        <v>27</v>
      </c>
      <c r="H5" s="7" t="s">
        <v>20</v>
      </c>
      <c r="I5" s="7" t="s">
        <v>34</v>
      </c>
      <c r="J5" s="6" t="s">
        <v>22</v>
      </c>
      <c r="K5" s="6" t="n">
        <v>1</v>
      </c>
      <c r="L5" s="7" t="s">
        <v>23</v>
      </c>
      <c r="M5" s="6" t="n">
        <v>4</v>
      </c>
      <c r="N5" s="7" t="s">
        <v>24</v>
      </c>
    </row>
    <row r="6" customFormat="false" ht="15" hidden="false" customHeight="false" outlineLevel="0" collapsed="false">
      <c r="A6" s="6" t="n">
        <v>5</v>
      </c>
      <c r="B6" s="7" t="s">
        <v>14</v>
      </c>
      <c r="C6" s="7" t="s">
        <v>15</v>
      </c>
      <c r="D6" s="8" t="s">
        <v>35</v>
      </c>
      <c r="E6" s="7" t="s">
        <v>36</v>
      </c>
      <c r="F6" s="6" t="s">
        <v>37</v>
      </c>
      <c r="G6" s="7" t="s">
        <v>27</v>
      </c>
      <c r="H6" s="7" t="s">
        <v>38</v>
      </c>
      <c r="I6" s="7" t="s">
        <v>39</v>
      </c>
      <c r="J6" s="6" t="s">
        <v>22</v>
      </c>
      <c r="K6" s="6" t="n">
        <v>1</v>
      </c>
      <c r="L6" s="7" t="s">
        <v>23</v>
      </c>
      <c r="M6" s="6" t="n">
        <v>5</v>
      </c>
      <c r="N6" s="7" t="s">
        <v>40</v>
      </c>
    </row>
    <row r="7" customFormat="false" ht="15" hidden="false" customHeight="false" outlineLevel="0" collapsed="false">
      <c r="A7" s="6" t="n">
        <v>6</v>
      </c>
      <c r="B7" s="7" t="s">
        <v>14</v>
      </c>
      <c r="C7" s="7" t="s">
        <v>15</v>
      </c>
      <c r="D7" s="8" t="s">
        <v>41</v>
      </c>
      <c r="E7" s="7" t="s">
        <v>42</v>
      </c>
      <c r="F7" s="6" t="s">
        <v>18</v>
      </c>
      <c r="G7" s="7" t="s">
        <v>43</v>
      </c>
      <c r="H7" s="7" t="s">
        <v>20</v>
      </c>
      <c r="I7" s="7" t="s">
        <v>44</v>
      </c>
      <c r="J7" s="6" t="s">
        <v>22</v>
      </c>
      <c r="K7" s="6" t="n">
        <v>1</v>
      </c>
      <c r="L7" s="7" t="s">
        <v>23</v>
      </c>
      <c r="M7" s="6" t="n">
        <v>6</v>
      </c>
      <c r="N7" s="7" t="s">
        <v>24</v>
      </c>
    </row>
    <row r="8" customFormat="false" ht="15" hidden="false" customHeight="false" outlineLevel="0" collapsed="false">
      <c r="A8" s="3" t="n">
        <v>7</v>
      </c>
      <c r="B8" s="4" t="s">
        <v>14</v>
      </c>
      <c r="C8" s="4" t="s">
        <v>15</v>
      </c>
      <c r="D8" s="5" t="s">
        <v>45</v>
      </c>
      <c r="E8" s="4" t="s">
        <v>17</v>
      </c>
      <c r="F8" s="3" t="s">
        <v>18</v>
      </c>
      <c r="G8" s="4" t="s">
        <v>19</v>
      </c>
      <c r="H8" s="4" t="s">
        <v>20</v>
      </c>
      <c r="I8" s="4" t="s">
        <v>46</v>
      </c>
      <c r="J8" s="6" t="s">
        <v>22</v>
      </c>
      <c r="K8" s="6" t="n">
        <v>1</v>
      </c>
      <c r="L8" s="7" t="s">
        <v>23</v>
      </c>
      <c r="M8" s="6" t="n">
        <v>7</v>
      </c>
      <c r="N8" s="7" t="s">
        <v>24</v>
      </c>
    </row>
    <row r="9" customFormat="false" ht="29.85" hidden="false" customHeight="false" outlineLevel="0" collapsed="false">
      <c r="A9" s="6" t="n">
        <v>8</v>
      </c>
      <c r="B9" s="7" t="s">
        <v>14</v>
      </c>
      <c r="C9" s="7" t="s">
        <v>15</v>
      </c>
      <c r="D9" s="8" t="s">
        <v>47</v>
      </c>
      <c r="E9" s="7" t="s">
        <v>48</v>
      </c>
      <c r="F9" s="6" t="s">
        <v>18</v>
      </c>
      <c r="G9" s="7" t="s">
        <v>43</v>
      </c>
      <c r="H9" s="7" t="s">
        <v>20</v>
      </c>
      <c r="I9" s="7" t="s">
        <v>49</v>
      </c>
      <c r="J9" s="6" t="s">
        <v>22</v>
      </c>
      <c r="K9" s="6" t="n">
        <v>1</v>
      </c>
      <c r="L9" s="7" t="s">
        <v>23</v>
      </c>
      <c r="M9" s="6" t="n">
        <v>8</v>
      </c>
      <c r="N9" s="7" t="s">
        <v>24</v>
      </c>
    </row>
    <row r="10" customFormat="false" ht="29.85" hidden="false" customHeight="false" outlineLevel="0" collapsed="false">
      <c r="A10" s="6" t="n">
        <v>9</v>
      </c>
      <c r="B10" s="7" t="s">
        <v>14</v>
      </c>
      <c r="C10" s="7" t="s">
        <v>15</v>
      </c>
      <c r="D10" s="8" t="s">
        <v>50</v>
      </c>
      <c r="E10" s="7" t="s">
        <v>15</v>
      </c>
      <c r="F10" s="6" t="s">
        <v>26</v>
      </c>
      <c r="G10" s="7" t="s">
        <v>27</v>
      </c>
      <c r="H10" s="7" t="s">
        <v>20</v>
      </c>
      <c r="I10" s="7" t="s">
        <v>51</v>
      </c>
      <c r="J10" s="6" t="s">
        <v>22</v>
      </c>
      <c r="K10" s="6" t="n">
        <v>1</v>
      </c>
      <c r="L10" s="7" t="s">
        <v>23</v>
      </c>
      <c r="M10" s="6" t="n">
        <v>9</v>
      </c>
      <c r="N10" s="7" t="s">
        <v>24</v>
      </c>
    </row>
    <row r="11" customFormat="false" ht="29.85" hidden="false" customHeight="false" outlineLevel="0" collapsed="false">
      <c r="A11" s="6" t="n">
        <v>10</v>
      </c>
      <c r="B11" s="7" t="s">
        <v>14</v>
      </c>
      <c r="C11" s="7" t="s">
        <v>15</v>
      </c>
      <c r="D11" s="8" t="s">
        <v>52</v>
      </c>
      <c r="E11" s="7" t="s">
        <v>30</v>
      </c>
      <c r="F11" s="6" t="s">
        <v>31</v>
      </c>
      <c r="G11" s="7" t="s">
        <v>27</v>
      </c>
      <c r="H11" s="7" t="s">
        <v>38</v>
      </c>
      <c r="I11" s="7" t="s">
        <v>53</v>
      </c>
      <c r="J11" s="6" t="s">
        <v>22</v>
      </c>
      <c r="K11" s="6" t="n">
        <v>1</v>
      </c>
      <c r="L11" s="7" t="s">
        <v>23</v>
      </c>
      <c r="M11" s="6" t="n">
        <v>10</v>
      </c>
      <c r="N11" s="7" t="s">
        <v>40</v>
      </c>
    </row>
    <row r="12" customFormat="false" ht="29.85" hidden="false" customHeight="false" outlineLevel="0" collapsed="false">
      <c r="A12" s="6" t="n">
        <v>11</v>
      </c>
      <c r="B12" s="7" t="s">
        <v>14</v>
      </c>
      <c r="C12" s="7" t="s">
        <v>15</v>
      </c>
      <c r="D12" s="8" t="s">
        <v>54</v>
      </c>
      <c r="E12" s="7" t="s">
        <v>48</v>
      </c>
      <c r="F12" s="6" t="s">
        <v>18</v>
      </c>
      <c r="G12" s="7" t="s">
        <v>43</v>
      </c>
      <c r="H12" s="7" t="s">
        <v>38</v>
      </c>
      <c r="I12" s="7" t="s">
        <v>55</v>
      </c>
      <c r="J12" s="6" t="s">
        <v>22</v>
      </c>
      <c r="K12" s="6" t="n">
        <v>1</v>
      </c>
      <c r="L12" s="7" t="s">
        <v>23</v>
      </c>
      <c r="M12" s="6" t="n">
        <v>11</v>
      </c>
      <c r="N12" s="7" t="s">
        <v>40</v>
      </c>
    </row>
    <row r="13" customFormat="false" ht="44" hidden="false" customHeight="false" outlineLevel="0" collapsed="false">
      <c r="A13" s="6" t="n">
        <v>12</v>
      </c>
      <c r="B13" s="7" t="s">
        <v>14</v>
      </c>
      <c r="C13" s="7" t="s">
        <v>15</v>
      </c>
      <c r="D13" s="8" t="s">
        <v>56</v>
      </c>
      <c r="E13" s="7" t="s">
        <v>30</v>
      </c>
      <c r="F13" s="6" t="s">
        <v>31</v>
      </c>
      <c r="G13" s="7" t="s">
        <v>27</v>
      </c>
      <c r="H13" s="7" t="s">
        <v>38</v>
      </c>
      <c r="I13" s="7" t="s">
        <v>57</v>
      </c>
      <c r="J13" s="6" t="s">
        <v>22</v>
      </c>
      <c r="K13" s="6" t="n">
        <v>1</v>
      </c>
      <c r="L13" s="7" t="s">
        <v>23</v>
      </c>
      <c r="M13" s="6" t="n">
        <v>12</v>
      </c>
      <c r="N13" s="7" t="s">
        <v>40</v>
      </c>
    </row>
    <row r="14" customFormat="false" ht="15" hidden="false" customHeight="false" outlineLevel="0" collapsed="false">
      <c r="A14" s="6" t="n">
        <v>13</v>
      </c>
      <c r="B14" s="7" t="s">
        <v>14</v>
      </c>
      <c r="C14" s="7" t="s">
        <v>58</v>
      </c>
      <c r="D14" s="8" t="s">
        <v>59</v>
      </c>
      <c r="E14" s="7" t="s">
        <v>60</v>
      </c>
      <c r="F14" s="6" t="s">
        <v>31</v>
      </c>
      <c r="G14" s="7" t="s">
        <v>43</v>
      </c>
      <c r="H14" s="7" t="s">
        <v>20</v>
      </c>
      <c r="I14" s="7" t="s">
        <v>61</v>
      </c>
      <c r="J14" s="6" t="s">
        <v>22</v>
      </c>
      <c r="K14" s="6" t="n">
        <v>2</v>
      </c>
      <c r="L14" s="7" t="s">
        <v>62</v>
      </c>
      <c r="M14" s="6" t="n">
        <v>1</v>
      </c>
      <c r="N14" s="7" t="s">
        <v>24</v>
      </c>
    </row>
    <row r="15" customFormat="false" ht="15" hidden="false" customHeight="false" outlineLevel="0" collapsed="false">
      <c r="A15" s="6" t="n">
        <v>14</v>
      </c>
      <c r="B15" s="7" t="s">
        <v>14</v>
      </c>
      <c r="C15" s="7" t="s">
        <v>58</v>
      </c>
      <c r="D15" s="8" t="s">
        <v>63</v>
      </c>
      <c r="E15" s="7" t="s">
        <v>64</v>
      </c>
      <c r="F15" s="6" t="s">
        <v>31</v>
      </c>
      <c r="G15" s="7" t="s">
        <v>43</v>
      </c>
      <c r="H15" s="7" t="s">
        <v>20</v>
      </c>
      <c r="I15" s="7" t="s">
        <v>65</v>
      </c>
      <c r="J15" s="6" t="s">
        <v>22</v>
      </c>
      <c r="K15" s="6" t="n">
        <v>2</v>
      </c>
      <c r="L15" s="7" t="s">
        <v>62</v>
      </c>
      <c r="M15" s="6" t="n">
        <v>2</v>
      </c>
      <c r="N15" s="7" t="s">
        <v>24</v>
      </c>
    </row>
    <row r="16" customFormat="false" ht="15" hidden="false" customHeight="false" outlineLevel="0" collapsed="false">
      <c r="A16" s="6" t="n">
        <v>15</v>
      </c>
      <c r="B16" s="7" t="s">
        <v>14</v>
      </c>
      <c r="C16" s="7" t="s">
        <v>58</v>
      </c>
      <c r="D16" s="8" t="s">
        <v>66</v>
      </c>
      <c r="E16" s="7" t="s">
        <v>67</v>
      </c>
      <c r="F16" s="6" t="s">
        <v>26</v>
      </c>
      <c r="G16" s="7" t="s">
        <v>27</v>
      </c>
      <c r="H16" s="7" t="s">
        <v>20</v>
      </c>
      <c r="I16" s="7" t="s">
        <v>34</v>
      </c>
      <c r="J16" s="6" t="s">
        <v>22</v>
      </c>
      <c r="K16" s="6" t="n">
        <v>2</v>
      </c>
      <c r="L16" s="7" t="s">
        <v>62</v>
      </c>
      <c r="M16" s="6" t="n">
        <v>3</v>
      </c>
      <c r="N16" s="7" t="s">
        <v>24</v>
      </c>
    </row>
    <row r="17" customFormat="false" ht="15" hidden="false" customHeight="false" outlineLevel="0" collapsed="false">
      <c r="A17" s="6" t="n">
        <v>16</v>
      </c>
      <c r="B17" s="7" t="s">
        <v>14</v>
      </c>
      <c r="C17" s="7" t="s">
        <v>58</v>
      </c>
      <c r="D17" s="8" t="s">
        <v>68</v>
      </c>
      <c r="E17" s="7" t="s">
        <v>69</v>
      </c>
      <c r="F17" s="6" t="s">
        <v>26</v>
      </c>
      <c r="G17" s="7" t="s">
        <v>27</v>
      </c>
      <c r="H17" s="7" t="s">
        <v>20</v>
      </c>
      <c r="I17" s="7" t="s">
        <v>44</v>
      </c>
      <c r="J17" s="6" t="s">
        <v>22</v>
      </c>
      <c r="K17" s="6" t="n">
        <v>2</v>
      </c>
      <c r="L17" s="7" t="s">
        <v>62</v>
      </c>
      <c r="M17" s="6" t="n">
        <v>4</v>
      </c>
      <c r="N17" s="7" t="s">
        <v>24</v>
      </c>
    </row>
    <row r="18" customFormat="false" ht="15" hidden="false" customHeight="false" outlineLevel="0" collapsed="false">
      <c r="A18" s="6" t="n">
        <v>17</v>
      </c>
      <c r="B18" s="7" t="s">
        <v>14</v>
      </c>
      <c r="C18" s="7" t="s">
        <v>58</v>
      </c>
      <c r="D18" s="8" t="s">
        <v>70</v>
      </c>
      <c r="E18" s="7" t="s">
        <v>71</v>
      </c>
      <c r="F18" s="6" t="s">
        <v>37</v>
      </c>
      <c r="G18" s="7" t="s">
        <v>27</v>
      </c>
      <c r="H18" s="7" t="s">
        <v>38</v>
      </c>
      <c r="I18" s="7" t="s">
        <v>72</v>
      </c>
      <c r="J18" s="6" t="s">
        <v>22</v>
      </c>
      <c r="K18" s="6" t="n">
        <v>2</v>
      </c>
      <c r="L18" s="7" t="s">
        <v>62</v>
      </c>
      <c r="M18" s="6" t="n">
        <v>5</v>
      </c>
      <c r="N18" s="7" t="s">
        <v>40</v>
      </c>
    </row>
    <row r="19" customFormat="false" ht="15" hidden="false" customHeight="false" outlineLevel="0" collapsed="false">
      <c r="A19" s="6" t="n">
        <v>18</v>
      </c>
      <c r="B19" s="7" t="s">
        <v>14</v>
      </c>
      <c r="C19" s="7" t="s">
        <v>58</v>
      </c>
      <c r="D19" s="8" t="s">
        <v>73</v>
      </c>
      <c r="E19" s="7" t="s">
        <v>74</v>
      </c>
      <c r="F19" s="6" t="s">
        <v>31</v>
      </c>
      <c r="G19" s="7" t="s">
        <v>27</v>
      </c>
      <c r="H19" s="7" t="s">
        <v>20</v>
      </c>
      <c r="I19" s="7" t="s">
        <v>44</v>
      </c>
      <c r="J19" s="6" t="s">
        <v>22</v>
      </c>
      <c r="K19" s="6" t="n">
        <v>2</v>
      </c>
      <c r="L19" s="7" t="s">
        <v>62</v>
      </c>
      <c r="M19" s="6" t="n">
        <v>6</v>
      </c>
      <c r="N19" s="7" t="s">
        <v>24</v>
      </c>
    </row>
    <row r="20" customFormat="false" ht="29.85" hidden="false" customHeight="false" outlineLevel="0" collapsed="false">
      <c r="A20" s="6" t="n">
        <v>19</v>
      </c>
      <c r="B20" s="7" t="s">
        <v>14</v>
      </c>
      <c r="C20" s="7" t="s">
        <v>58</v>
      </c>
      <c r="D20" s="8" t="s">
        <v>75</v>
      </c>
      <c r="E20" s="7" t="s">
        <v>69</v>
      </c>
      <c r="F20" s="6" t="s">
        <v>26</v>
      </c>
      <c r="G20" s="7" t="s">
        <v>27</v>
      </c>
      <c r="H20" s="7" t="s">
        <v>20</v>
      </c>
      <c r="I20" s="7" t="s">
        <v>76</v>
      </c>
      <c r="J20" s="6" t="s">
        <v>22</v>
      </c>
      <c r="K20" s="6" t="n">
        <v>2</v>
      </c>
      <c r="L20" s="7" t="s">
        <v>62</v>
      </c>
      <c r="M20" s="6" t="n">
        <v>7</v>
      </c>
      <c r="N20" s="7" t="s">
        <v>24</v>
      </c>
    </row>
    <row r="21" customFormat="false" ht="29.85" hidden="false" customHeight="false" outlineLevel="0" collapsed="false">
      <c r="A21" s="6" t="n">
        <v>20</v>
      </c>
      <c r="B21" s="7" t="s">
        <v>14</v>
      </c>
      <c r="C21" s="7" t="s">
        <v>58</v>
      </c>
      <c r="D21" s="8" t="s">
        <v>77</v>
      </c>
      <c r="E21" s="7" t="s">
        <v>78</v>
      </c>
      <c r="F21" s="6" t="s">
        <v>31</v>
      </c>
      <c r="G21" s="7" t="s">
        <v>27</v>
      </c>
      <c r="H21" s="7" t="s">
        <v>20</v>
      </c>
      <c r="I21" s="7" t="s">
        <v>76</v>
      </c>
      <c r="J21" s="6" t="s">
        <v>22</v>
      </c>
      <c r="K21" s="6" t="n">
        <v>2</v>
      </c>
      <c r="L21" s="7" t="s">
        <v>62</v>
      </c>
      <c r="M21" s="6" t="n">
        <v>8</v>
      </c>
      <c r="N21" s="7" t="s">
        <v>24</v>
      </c>
    </row>
    <row r="22" customFormat="false" ht="29.85" hidden="false" customHeight="false" outlineLevel="0" collapsed="false">
      <c r="A22" s="6" t="n">
        <v>21</v>
      </c>
      <c r="B22" s="7" t="s">
        <v>14</v>
      </c>
      <c r="C22" s="7" t="s">
        <v>58</v>
      </c>
      <c r="D22" s="8" t="s">
        <v>79</v>
      </c>
      <c r="E22" s="7" t="s">
        <v>67</v>
      </c>
      <c r="F22" s="6" t="s">
        <v>26</v>
      </c>
      <c r="G22" s="7" t="s">
        <v>27</v>
      </c>
      <c r="H22" s="7" t="s">
        <v>20</v>
      </c>
      <c r="I22" s="7" t="s">
        <v>76</v>
      </c>
      <c r="J22" s="6" t="s">
        <v>22</v>
      </c>
      <c r="K22" s="6" t="n">
        <v>2</v>
      </c>
      <c r="L22" s="7" t="s">
        <v>62</v>
      </c>
      <c r="M22" s="6" t="n">
        <v>9</v>
      </c>
      <c r="N22" s="7" t="s">
        <v>24</v>
      </c>
    </row>
    <row r="23" customFormat="false" ht="15" hidden="false" customHeight="false" outlineLevel="0" collapsed="false">
      <c r="A23" s="6" t="n">
        <v>22</v>
      </c>
      <c r="B23" s="7" t="s">
        <v>14</v>
      </c>
      <c r="C23" s="7" t="s">
        <v>58</v>
      </c>
      <c r="D23" s="8" t="s">
        <v>80</v>
      </c>
      <c r="E23" s="7" t="s">
        <v>81</v>
      </c>
      <c r="F23" s="6" t="s">
        <v>82</v>
      </c>
      <c r="G23" s="7" t="s">
        <v>27</v>
      </c>
      <c r="H23" s="7" t="s">
        <v>38</v>
      </c>
      <c r="I23" s="7" t="s">
        <v>83</v>
      </c>
      <c r="J23" s="6" t="s">
        <v>22</v>
      </c>
      <c r="K23" s="6" t="n">
        <v>2</v>
      </c>
      <c r="L23" s="7" t="s">
        <v>62</v>
      </c>
      <c r="M23" s="6" t="n">
        <v>10</v>
      </c>
      <c r="N23" s="7" t="s">
        <v>40</v>
      </c>
    </row>
    <row r="24" customFormat="false" ht="29.85" hidden="false" customHeight="false" outlineLevel="0" collapsed="false">
      <c r="A24" s="6" t="n">
        <v>23</v>
      </c>
      <c r="B24" s="7" t="s">
        <v>14</v>
      </c>
      <c r="C24" s="7" t="s">
        <v>58</v>
      </c>
      <c r="D24" s="8" t="s">
        <v>84</v>
      </c>
      <c r="E24" s="7" t="s">
        <v>78</v>
      </c>
      <c r="F24" s="6" t="s">
        <v>31</v>
      </c>
      <c r="G24" s="7" t="s">
        <v>27</v>
      </c>
      <c r="H24" s="7" t="s">
        <v>20</v>
      </c>
      <c r="I24" s="7" t="s">
        <v>85</v>
      </c>
      <c r="J24" s="6" t="s">
        <v>22</v>
      </c>
      <c r="K24" s="6" t="n">
        <v>2</v>
      </c>
      <c r="L24" s="7" t="s">
        <v>62</v>
      </c>
      <c r="M24" s="6" t="n">
        <v>11</v>
      </c>
      <c r="N24" s="7" t="s">
        <v>24</v>
      </c>
    </row>
    <row r="25" customFormat="false" ht="29.85" hidden="false" customHeight="false" outlineLevel="0" collapsed="false">
      <c r="A25" s="6" t="n">
        <v>24</v>
      </c>
      <c r="B25" s="7" t="s">
        <v>14</v>
      </c>
      <c r="C25" s="7" t="s">
        <v>58</v>
      </c>
      <c r="D25" s="8" t="s">
        <v>86</v>
      </c>
      <c r="E25" s="7" t="s">
        <v>87</v>
      </c>
      <c r="F25" s="6" t="s">
        <v>18</v>
      </c>
      <c r="G25" s="7" t="s">
        <v>43</v>
      </c>
      <c r="H25" s="7" t="s">
        <v>20</v>
      </c>
      <c r="I25" s="7" t="s">
        <v>88</v>
      </c>
      <c r="J25" s="6" t="s">
        <v>22</v>
      </c>
      <c r="K25" s="6" t="n">
        <v>2</v>
      </c>
      <c r="L25" s="7" t="s">
        <v>62</v>
      </c>
      <c r="M25" s="6" t="n">
        <v>12</v>
      </c>
      <c r="N25" s="7" t="s">
        <v>24</v>
      </c>
    </row>
    <row r="26" customFormat="false" ht="29.85" hidden="false" customHeight="false" outlineLevel="0" collapsed="false">
      <c r="A26" s="6" t="n">
        <v>25</v>
      </c>
      <c r="B26" s="7" t="s">
        <v>14</v>
      </c>
      <c r="C26" s="7" t="s">
        <v>58</v>
      </c>
      <c r="D26" s="8" t="s">
        <v>89</v>
      </c>
      <c r="E26" s="7" t="s">
        <v>90</v>
      </c>
      <c r="F26" s="6" t="s">
        <v>31</v>
      </c>
      <c r="G26" s="7" t="s">
        <v>43</v>
      </c>
      <c r="H26" s="7" t="s">
        <v>20</v>
      </c>
      <c r="I26" s="7" t="s">
        <v>91</v>
      </c>
      <c r="J26" s="6" t="s">
        <v>22</v>
      </c>
      <c r="K26" s="6" t="n">
        <v>2</v>
      </c>
      <c r="L26" s="7" t="s">
        <v>62</v>
      </c>
      <c r="M26" s="6" t="n">
        <v>13</v>
      </c>
      <c r="N26" s="7" t="s">
        <v>24</v>
      </c>
    </row>
    <row r="27" customFormat="false" ht="29.85" hidden="false" customHeight="false" outlineLevel="0" collapsed="false">
      <c r="A27" s="6" t="n">
        <v>26</v>
      </c>
      <c r="B27" s="7" t="s">
        <v>14</v>
      </c>
      <c r="C27" s="7" t="s">
        <v>58</v>
      </c>
      <c r="D27" s="8" t="s">
        <v>92</v>
      </c>
      <c r="E27" s="7" t="s">
        <v>87</v>
      </c>
      <c r="F27" s="6" t="s">
        <v>18</v>
      </c>
      <c r="G27" s="7" t="s">
        <v>43</v>
      </c>
      <c r="H27" s="7" t="s">
        <v>20</v>
      </c>
      <c r="I27" s="7" t="s">
        <v>91</v>
      </c>
      <c r="J27" s="6" t="s">
        <v>22</v>
      </c>
      <c r="K27" s="6" t="n">
        <v>2</v>
      </c>
      <c r="L27" s="7" t="s">
        <v>62</v>
      </c>
      <c r="M27" s="6" t="n">
        <v>14</v>
      </c>
      <c r="N27" s="7" t="s">
        <v>24</v>
      </c>
    </row>
    <row r="28" customFormat="false" ht="15" hidden="false" customHeight="false" outlineLevel="0" collapsed="false">
      <c r="A28" s="6" t="n">
        <v>27</v>
      </c>
      <c r="B28" s="7" t="s">
        <v>14</v>
      </c>
      <c r="C28" s="7" t="s">
        <v>58</v>
      </c>
      <c r="D28" s="8" t="s">
        <v>93</v>
      </c>
      <c r="E28" s="7" t="s">
        <v>94</v>
      </c>
      <c r="F28" s="6" t="s">
        <v>82</v>
      </c>
      <c r="G28" s="7" t="s">
        <v>27</v>
      </c>
      <c r="H28" s="7" t="s">
        <v>38</v>
      </c>
      <c r="I28" s="7" t="s">
        <v>95</v>
      </c>
      <c r="J28" s="6" t="s">
        <v>22</v>
      </c>
      <c r="K28" s="6" t="n">
        <v>2</v>
      </c>
      <c r="L28" s="7" t="s">
        <v>62</v>
      </c>
      <c r="M28" s="6" t="n">
        <v>15</v>
      </c>
      <c r="N28" s="7" t="s">
        <v>40</v>
      </c>
    </row>
    <row r="29" customFormat="false" ht="29.85" hidden="false" customHeight="false" outlineLevel="0" collapsed="false">
      <c r="A29" s="6" t="n">
        <v>28</v>
      </c>
      <c r="B29" s="7" t="s">
        <v>14</v>
      </c>
      <c r="C29" s="7" t="s">
        <v>58</v>
      </c>
      <c r="D29" s="8" t="s">
        <v>96</v>
      </c>
      <c r="E29" s="7" t="s">
        <v>97</v>
      </c>
      <c r="F29" s="6" t="s">
        <v>31</v>
      </c>
      <c r="G29" s="7" t="s">
        <v>43</v>
      </c>
      <c r="H29" s="7" t="s">
        <v>20</v>
      </c>
      <c r="I29" s="7" t="s">
        <v>98</v>
      </c>
      <c r="J29" s="6" t="s">
        <v>22</v>
      </c>
      <c r="K29" s="6" t="n">
        <v>2</v>
      </c>
      <c r="L29" s="7" t="s">
        <v>62</v>
      </c>
      <c r="M29" s="6" t="n">
        <v>16</v>
      </c>
      <c r="N29" s="7" t="s">
        <v>24</v>
      </c>
    </row>
    <row r="30" customFormat="false" ht="29.85" hidden="false" customHeight="false" outlineLevel="0" collapsed="false">
      <c r="A30" s="6" t="n">
        <v>29</v>
      </c>
      <c r="B30" s="7" t="s">
        <v>14</v>
      </c>
      <c r="C30" s="7" t="s">
        <v>58</v>
      </c>
      <c r="D30" s="8" t="s">
        <v>99</v>
      </c>
      <c r="E30" s="7" t="s">
        <v>100</v>
      </c>
      <c r="F30" s="6" t="s">
        <v>31</v>
      </c>
      <c r="G30" s="7" t="s">
        <v>27</v>
      </c>
      <c r="H30" s="7" t="s">
        <v>20</v>
      </c>
      <c r="I30" s="7" t="s">
        <v>98</v>
      </c>
      <c r="J30" s="6" t="s">
        <v>22</v>
      </c>
      <c r="K30" s="6" t="n">
        <v>2</v>
      </c>
      <c r="L30" s="7" t="s">
        <v>62</v>
      </c>
      <c r="M30" s="6" t="n">
        <v>17</v>
      </c>
      <c r="N30" s="7" t="s">
        <v>24</v>
      </c>
    </row>
    <row r="31" customFormat="false" ht="29.85" hidden="false" customHeight="false" outlineLevel="0" collapsed="false">
      <c r="A31" s="3" t="n">
        <v>30</v>
      </c>
      <c r="B31" s="4" t="s">
        <v>14</v>
      </c>
      <c r="C31" s="4" t="s">
        <v>58</v>
      </c>
      <c r="D31" s="5" t="s">
        <v>101</v>
      </c>
      <c r="E31" s="4" t="s">
        <v>102</v>
      </c>
      <c r="F31" s="3" t="s">
        <v>18</v>
      </c>
      <c r="G31" s="4" t="s">
        <v>19</v>
      </c>
      <c r="H31" s="4" t="s">
        <v>20</v>
      </c>
      <c r="I31" s="4" t="s">
        <v>98</v>
      </c>
      <c r="J31" s="6" t="s">
        <v>22</v>
      </c>
      <c r="K31" s="6" t="n">
        <v>2</v>
      </c>
      <c r="L31" s="7" t="s">
        <v>62</v>
      </c>
      <c r="M31" s="6" t="n">
        <v>18</v>
      </c>
      <c r="N31" s="7" t="s">
        <v>24</v>
      </c>
    </row>
    <row r="32" customFormat="false" ht="29.85" hidden="false" customHeight="false" outlineLevel="0" collapsed="false">
      <c r="A32" s="6" t="n">
        <v>31</v>
      </c>
      <c r="B32" s="7" t="s">
        <v>14</v>
      </c>
      <c r="C32" s="7" t="s">
        <v>58</v>
      </c>
      <c r="D32" s="8" t="s">
        <v>103</v>
      </c>
      <c r="E32" s="7" t="s">
        <v>104</v>
      </c>
      <c r="F32" s="6" t="s">
        <v>31</v>
      </c>
      <c r="G32" s="7" t="s">
        <v>27</v>
      </c>
      <c r="H32" s="7" t="s">
        <v>20</v>
      </c>
      <c r="I32" s="7" t="s">
        <v>105</v>
      </c>
      <c r="J32" s="6" t="s">
        <v>22</v>
      </c>
      <c r="K32" s="6" t="n">
        <v>2</v>
      </c>
      <c r="L32" s="7" t="s">
        <v>62</v>
      </c>
      <c r="M32" s="6" t="n">
        <v>19</v>
      </c>
      <c r="N32" s="7" t="s">
        <v>24</v>
      </c>
    </row>
    <row r="33" customFormat="false" ht="15" hidden="false" customHeight="false" outlineLevel="0" collapsed="false">
      <c r="A33" s="6" t="n">
        <v>32</v>
      </c>
      <c r="B33" s="7" t="s">
        <v>14</v>
      </c>
      <c r="C33" s="7" t="s">
        <v>58</v>
      </c>
      <c r="D33" s="8" t="s">
        <v>106</v>
      </c>
      <c r="E33" s="7" t="s">
        <v>107</v>
      </c>
      <c r="F33" s="6" t="s">
        <v>82</v>
      </c>
      <c r="G33" s="7" t="s">
        <v>27</v>
      </c>
      <c r="H33" s="7" t="s">
        <v>38</v>
      </c>
      <c r="I33" s="7" t="s">
        <v>108</v>
      </c>
      <c r="J33" s="6" t="s">
        <v>22</v>
      </c>
      <c r="K33" s="6" t="n">
        <v>2</v>
      </c>
      <c r="L33" s="7" t="s">
        <v>62</v>
      </c>
      <c r="M33" s="6" t="n">
        <v>20</v>
      </c>
      <c r="N33" s="7" t="s">
        <v>40</v>
      </c>
    </row>
    <row r="34" customFormat="false" ht="29.85" hidden="false" customHeight="false" outlineLevel="0" collapsed="false">
      <c r="A34" s="6" t="n">
        <v>33</v>
      </c>
      <c r="B34" s="7" t="s">
        <v>14</v>
      </c>
      <c r="C34" s="7" t="s">
        <v>58</v>
      </c>
      <c r="D34" s="8" t="s">
        <v>109</v>
      </c>
      <c r="E34" s="7" t="s">
        <v>110</v>
      </c>
      <c r="F34" s="6" t="s">
        <v>31</v>
      </c>
      <c r="G34" s="7" t="s">
        <v>27</v>
      </c>
      <c r="H34" s="7" t="s">
        <v>20</v>
      </c>
      <c r="I34" s="7" t="s">
        <v>105</v>
      </c>
      <c r="J34" s="6" t="s">
        <v>22</v>
      </c>
      <c r="K34" s="6" t="n">
        <v>2</v>
      </c>
      <c r="L34" s="7" t="s">
        <v>62</v>
      </c>
      <c r="M34" s="6" t="n">
        <v>21</v>
      </c>
      <c r="N34" s="7" t="s">
        <v>24</v>
      </c>
    </row>
    <row r="35" customFormat="false" ht="29.85" hidden="false" customHeight="false" outlineLevel="0" collapsed="false">
      <c r="A35" s="6" t="n">
        <v>34</v>
      </c>
      <c r="B35" s="7" t="s">
        <v>14</v>
      </c>
      <c r="C35" s="7" t="s">
        <v>58</v>
      </c>
      <c r="D35" s="8" t="s">
        <v>111</v>
      </c>
      <c r="E35" s="7" t="s">
        <v>58</v>
      </c>
      <c r="F35" s="6" t="s">
        <v>26</v>
      </c>
      <c r="G35" s="7" t="s">
        <v>27</v>
      </c>
      <c r="H35" s="7" t="s">
        <v>20</v>
      </c>
      <c r="I35" s="7" t="s">
        <v>112</v>
      </c>
      <c r="J35" s="6" t="s">
        <v>22</v>
      </c>
      <c r="K35" s="6" t="n">
        <v>2</v>
      </c>
      <c r="L35" s="7" t="s">
        <v>62</v>
      </c>
      <c r="M35" s="6" t="n">
        <v>22</v>
      </c>
      <c r="N35" s="7" t="s">
        <v>24</v>
      </c>
    </row>
    <row r="36" customFormat="false" ht="29.85" hidden="false" customHeight="false" outlineLevel="0" collapsed="false">
      <c r="A36" s="3" t="n">
        <v>35</v>
      </c>
      <c r="B36" s="4" t="s">
        <v>14</v>
      </c>
      <c r="C36" s="4" t="s">
        <v>58</v>
      </c>
      <c r="D36" s="5" t="s">
        <v>113</v>
      </c>
      <c r="E36" s="4" t="s">
        <v>102</v>
      </c>
      <c r="F36" s="3" t="s">
        <v>18</v>
      </c>
      <c r="G36" s="4" t="s">
        <v>19</v>
      </c>
      <c r="H36" s="4" t="s">
        <v>20</v>
      </c>
      <c r="I36" s="4" t="s">
        <v>114</v>
      </c>
      <c r="J36" s="6" t="s">
        <v>22</v>
      </c>
      <c r="K36" s="6" t="n">
        <v>2</v>
      </c>
      <c r="L36" s="7" t="s">
        <v>62</v>
      </c>
      <c r="M36" s="6" t="n">
        <v>23</v>
      </c>
      <c r="N36" s="7" t="s">
        <v>24</v>
      </c>
    </row>
    <row r="37" customFormat="false" ht="29.85" hidden="false" customHeight="false" outlineLevel="0" collapsed="false">
      <c r="A37" s="6" t="n">
        <v>36</v>
      </c>
      <c r="B37" s="7" t="s">
        <v>14</v>
      </c>
      <c r="C37" s="7" t="s">
        <v>58</v>
      </c>
      <c r="D37" s="8" t="s">
        <v>115</v>
      </c>
      <c r="E37" s="7" t="s">
        <v>116</v>
      </c>
      <c r="F37" s="6" t="s">
        <v>31</v>
      </c>
      <c r="G37" s="7" t="s">
        <v>27</v>
      </c>
      <c r="H37" s="7" t="s">
        <v>20</v>
      </c>
      <c r="I37" s="7" t="s">
        <v>117</v>
      </c>
      <c r="J37" s="6" t="s">
        <v>22</v>
      </c>
      <c r="K37" s="6" t="n">
        <v>2</v>
      </c>
      <c r="L37" s="7" t="s">
        <v>62</v>
      </c>
      <c r="M37" s="6" t="n">
        <v>24</v>
      </c>
      <c r="N37" s="7" t="s">
        <v>24</v>
      </c>
    </row>
    <row r="38" customFormat="false" ht="15" hidden="false" customHeight="false" outlineLevel="0" collapsed="false">
      <c r="A38" s="6" t="n">
        <v>37</v>
      </c>
      <c r="B38" s="7" t="s">
        <v>14</v>
      </c>
      <c r="C38" s="7" t="s">
        <v>58</v>
      </c>
      <c r="D38" s="8" t="s">
        <v>118</v>
      </c>
      <c r="E38" s="7" t="s">
        <v>119</v>
      </c>
      <c r="F38" s="6" t="s">
        <v>82</v>
      </c>
      <c r="G38" s="7" t="s">
        <v>27</v>
      </c>
      <c r="H38" s="7" t="s">
        <v>38</v>
      </c>
      <c r="I38" s="7" t="s">
        <v>120</v>
      </c>
      <c r="J38" s="6" t="s">
        <v>22</v>
      </c>
      <c r="K38" s="6" t="n">
        <v>2</v>
      </c>
      <c r="L38" s="7" t="s">
        <v>62</v>
      </c>
      <c r="M38" s="6" t="n">
        <v>25</v>
      </c>
      <c r="N38" s="7" t="s">
        <v>40</v>
      </c>
    </row>
    <row r="39" customFormat="false" ht="29.85" hidden="false" customHeight="false" outlineLevel="0" collapsed="false">
      <c r="A39" s="6" t="n">
        <v>38</v>
      </c>
      <c r="B39" s="7" t="s">
        <v>14</v>
      </c>
      <c r="C39" s="7" t="s">
        <v>58</v>
      </c>
      <c r="D39" s="8" t="s">
        <v>121</v>
      </c>
      <c r="E39" s="7" t="s">
        <v>122</v>
      </c>
      <c r="F39" s="6" t="s">
        <v>26</v>
      </c>
      <c r="G39" s="7" t="s">
        <v>27</v>
      </c>
      <c r="H39" s="7" t="s">
        <v>38</v>
      </c>
      <c r="I39" s="7" t="s">
        <v>123</v>
      </c>
      <c r="J39" s="6" t="s">
        <v>22</v>
      </c>
      <c r="K39" s="6" t="n">
        <v>2</v>
      </c>
      <c r="L39" s="7" t="s">
        <v>62</v>
      </c>
      <c r="M39" s="6" t="n">
        <v>26</v>
      </c>
      <c r="N39" s="7" t="s">
        <v>40</v>
      </c>
    </row>
    <row r="40" customFormat="false" ht="29.85" hidden="false" customHeight="false" outlineLevel="0" collapsed="false">
      <c r="A40" s="6" t="n">
        <v>39</v>
      </c>
      <c r="B40" s="7" t="s">
        <v>14</v>
      </c>
      <c r="C40" s="7" t="s">
        <v>58</v>
      </c>
      <c r="D40" s="8" t="s">
        <v>124</v>
      </c>
      <c r="E40" s="7" t="s">
        <v>69</v>
      </c>
      <c r="F40" s="6" t="s">
        <v>26</v>
      </c>
      <c r="G40" s="7" t="s">
        <v>27</v>
      </c>
      <c r="H40" s="7" t="s">
        <v>38</v>
      </c>
      <c r="I40" s="7" t="s">
        <v>125</v>
      </c>
      <c r="J40" s="6" t="s">
        <v>22</v>
      </c>
      <c r="K40" s="6" t="n">
        <v>2</v>
      </c>
      <c r="L40" s="7" t="s">
        <v>62</v>
      </c>
      <c r="M40" s="6" t="n">
        <v>27</v>
      </c>
      <c r="N40" s="7" t="s">
        <v>40</v>
      </c>
    </row>
    <row r="41" customFormat="false" ht="29.85" hidden="false" customHeight="false" outlineLevel="0" collapsed="false">
      <c r="A41" s="6" t="n">
        <v>40</v>
      </c>
      <c r="B41" s="7" t="s">
        <v>14</v>
      </c>
      <c r="C41" s="7" t="s">
        <v>58</v>
      </c>
      <c r="D41" s="8" t="s">
        <v>126</v>
      </c>
      <c r="E41" s="7" t="s">
        <v>122</v>
      </c>
      <c r="F41" s="6" t="s">
        <v>26</v>
      </c>
      <c r="G41" s="7" t="s">
        <v>27</v>
      </c>
      <c r="H41" s="7" t="s">
        <v>38</v>
      </c>
      <c r="I41" s="7" t="s">
        <v>127</v>
      </c>
      <c r="J41" s="6" t="s">
        <v>22</v>
      </c>
      <c r="K41" s="6" t="n">
        <v>2</v>
      </c>
      <c r="L41" s="7" t="s">
        <v>62</v>
      </c>
      <c r="M41" s="6" t="n">
        <v>28</v>
      </c>
      <c r="N41" s="7" t="s">
        <v>40</v>
      </c>
    </row>
    <row r="42" customFormat="false" ht="44" hidden="false" customHeight="false" outlineLevel="0" collapsed="false">
      <c r="A42" s="6" t="n">
        <v>41</v>
      </c>
      <c r="B42" s="7" t="s">
        <v>14</v>
      </c>
      <c r="C42" s="7" t="s">
        <v>58</v>
      </c>
      <c r="D42" s="8" t="s">
        <v>128</v>
      </c>
      <c r="E42" s="7" t="s">
        <v>110</v>
      </c>
      <c r="F42" s="6" t="s">
        <v>31</v>
      </c>
      <c r="G42" s="7" t="s">
        <v>27</v>
      </c>
      <c r="H42" s="7" t="s">
        <v>38</v>
      </c>
      <c r="I42" s="7" t="s">
        <v>129</v>
      </c>
      <c r="J42" s="6" t="s">
        <v>22</v>
      </c>
      <c r="K42" s="6" t="n">
        <v>2</v>
      </c>
      <c r="L42" s="7" t="s">
        <v>62</v>
      </c>
      <c r="M42" s="6" t="n">
        <v>29</v>
      </c>
      <c r="N42" s="7" t="s">
        <v>40</v>
      </c>
    </row>
    <row r="43" customFormat="false" ht="44" hidden="false" customHeight="false" outlineLevel="0" collapsed="false">
      <c r="A43" s="6" t="n">
        <v>42</v>
      </c>
      <c r="B43" s="7" t="s">
        <v>14</v>
      </c>
      <c r="C43" s="7" t="s">
        <v>58</v>
      </c>
      <c r="D43" s="8" t="s">
        <v>130</v>
      </c>
      <c r="E43" s="7" t="s">
        <v>104</v>
      </c>
      <c r="F43" s="6" t="s">
        <v>31</v>
      </c>
      <c r="G43" s="7" t="s">
        <v>27</v>
      </c>
      <c r="H43" s="7" t="s">
        <v>38</v>
      </c>
      <c r="I43" s="7" t="s">
        <v>131</v>
      </c>
      <c r="J43" s="6" t="s">
        <v>22</v>
      </c>
      <c r="K43" s="6" t="n">
        <v>2</v>
      </c>
      <c r="L43" s="7" t="s">
        <v>62</v>
      </c>
      <c r="M43" s="6" t="n">
        <v>30</v>
      </c>
      <c r="N43" s="7" t="s">
        <v>40</v>
      </c>
    </row>
    <row r="44" customFormat="false" ht="15" hidden="false" customHeight="false" outlineLevel="0" collapsed="false">
      <c r="A44" s="6" t="n">
        <v>43</v>
      </c>
      <c r="B44" s="7" t="s">
        <v>14</v>
      </c>
      <c r="C44" s="7" t="s">
        <v>132</v>
      </c>
      <c r="D44" s="8" t="s">
        <v>133</v>
      </c>
      <c r="E44" s="7" t="s">
        <v>134</v>
      </c>
      <c r="F44" s="6" t="s">
        <v>31</v>
      </c>
      <c r="G44" s="7" t="s">
        <v>27</v>
      </c>
      <c r="H44" s="7" t="s">
        <v>20</v>
      </c>
      <c r="I44" s="7" t="s">
        <v>135</v>
      </c>
      <c r="J44" s="6" t="s">
        <v>22</v>
      </c>
      <c r="K44" s="6" t="n">
        <v>3</v>
      </c>
      <c r="L44" s="7" t="s">
        <v>136</v>
      </c>
      <c r="M44" s="6" t="n">
        <v>1</v>
      </c>
      <c r="N44" s="7" t="s">
        <v>24</v>
      </c>
    </row>
    <row r="45" customFormat="false" ht="15" hidden="false" customHeight="false" outlineLevel="0" collapsed="false">
      <c r="A45" s="6" t="n">
        <v>44</v>
      </c>
      <c r="B45" s="7" t="s">
        <v>14</v>
      </c>
      <c r="C45" s="7" t="s">
        <v>132</v>
      </c>
      <c r="D45" s="8" t="s">
        <v>137</v>
      </c>
      <c r="E45" s="7" t="s">
        <v>132</v>
      </c>
      <c r="F45" s="6" t="s">
        <v>26</v>
      </c>
      <c r="G45" s="7" t="s">
        <v>27</v>
      </c>
      <c r="H45" s="7" t="s">
        <v>20</v>
      </c>
      <c r="I45" s="7" t="s">
        <v>138</v>
      </c>
      <c r="J45" s="6" t="s">
        <v>22</v>
      </c>
      <c r="K45" s="6" t="n">
        <v>3</v>
      </c>
      <c r="L45" s="7" t="s">
        <v>136</v>
      </c>
      <c r="M45" s="6" t="n">
        <v>2</v>
      </c>
      <c r="N45" s="7" t="s">
        <v>24</v>
      </c>
    </row>
    <row r="46" customFormat="false" ht="15" hidden="false" customHeight="false" outlineLevel="0" collapsed="false">
      <c r="A46" s="6" t="n">
        <v>45</v>
      </c>
      <c r="B46" s="7" t="s">
        <v>14</v>
      </c>
      <c r="C46" s="7" t="s">
        <v>132</v>
      </c>
      <c r="D46" s="8" t="s">
        <v>139</v>
      </c>
      <c r="E46" s="7" t="s">
        <v>134</v>
      </c>
      <c r="F46" s="6" t="s">
        <v>31</v>
      </c>
      <c r="G46" s="7" t="s">
        <v>27</v>
      </c>
      <c r="H46" s="7" t="s">
        <v>20</v>
      </c>
      <c r="I46" s="7" t="s">
        <v>46</v>
      </c>
      <c r="J46" s="6" t="s">
        <v>22</v>
      </c>
      <c r="K46" s="6" t="n">
        <v>3</v>
      </c>
      <c r="L46" s="7" t="s">
        <v>136</v>
      </c>
      <c r="M46" s="6" t="n">
        <v>3</v>
      </c>
      <c r="N46" s="7" t="s">
        <v>24</v>
      </c>
    </row>
    <row r="47" customFormat="false" ht="29.85" hidden="false" customHeight="false" outlineLevel="0" collapsed="false">
      <c r="A47" s="6" t="n">
        <v>46</v>
      </c>
      <c r="B47" s="7" t="s">
        <v>14</v>
      </c>
      <c r="C47" s="7" t="s">
        <v>132</v>
      </c>
      <c r="D47" s="8" t="s">
        <v>140</v>
      </c>
      <c r="E47" s="7" t="s">
        <v>141</v>
      </c>
      <c r="F47" s="6" t="s">
        <v>31</v>
      </c>
      <c r="G47" s="7" t="s">
        <v>27</v>
      </c>
      <c r="H47" s="7" t="s">
        <v>20</v>
      </c>
      <c r="I47" s="7" t="s">
        <v>49</v>
      </c>
      <c r="J47" s="6" t="s">
        <v>22</v>
      </c>
      <c r="K47" s="6" t="n">
        <v>3</v>
      </c>
      <c r="L47" s="7" t="s">
        <v>136</v>
      </c>
      <c r="M47" s="6" t="n">
        <v>4</v>
      </c>
      <c r="N47" s="7" t="s">
        <v>24</v>
      </c>
    </row>
    <row r="48" customFormat="false" ht="15" hidden="false" customHeight="false" outlineLevel="0" collapsed="false">
      <c r="A48" s="6" t="n">
        <v>47</v>
      </c>
      <c r="B48" s="7" t="s">
        <v>14</v>
      </c>
      <c r="C48" s="7" t="s">
        <v>132</v>
      </c>
      <c r="D48" s="8" t="s">
        <v>142</v>
      </c>
      <c r="E48" s="7" t="s">
        <v>143</v>
      </c>
      <c r="F48" s="6" t="s">
        <v>37</v>
      </c>
      <c r="G48" s="7" t="s">
        <v>27</v>
      </c>
      <c r="H48" s="7" t="s">
        <v>38</v>
      </c>
      <c r="I48" s="7" t="s">
        <v>108</v>
      </c>
      <c r="J48" s="6" t="s">
        <v>22</v>
      </c>
      <c r="K48" s="6" t="n">
        <v>3</v>
      </c>
      <c r="L48" s="7" t="s">
        <v>136</v>
      </c>
      <c r="M48" s="6" t="n">
        <v>5</v>
      </c>
      <c r="N48" s="7" t="s">
        <v>40</v>
      </c>
    </row>
    <row r="49" customFormat="false" ht="29.85" hidden="false" customHeight="false" outlineLevel="0" collapsed="false">
      <c r="A49" s="6" t="n">
        <v>48</v>
      </c>
      <c r="B49" s="7" t="s">
        <v>14</v>
      </c>
      <c r="C49" s="7" t="s">
        <v>132</v>
      </c>
      <c r="D49" s="8" t="s">
        <v>144</v>
      </c>
      <c r="E49" s="7" t="s">
        <v>141</v>
      </c>
      <c r="F49" s="6" t="s">
        <v>31</v>
      </c>
      <c r="G49" s="7" t="s">
        <v>27</v>
      </c>
      <c r="H49" s="7" t="s">
        <v>20</v>
      </c>
      <c r="I49" s="7" t="s">
        <v>88</v>
      </c>
      <c r="J49" s="6" t="s">
        <v>22</v>
      </c>
      <c r="K49" s="6" t="n">
        <v>3</v>
      </c>
      <c r="L49" s="7" t="s">
        <v>136</v>
      </c>
      <c r="M49" s="6" t="n">
        <v>6</v>
      </c>
      <c r="N49" s="7" t="s">
        <v>24</v>
      </c>
    </row>
    <row r="50" customFormat="false" ht="29.85" hidden="false" customHeight="false" outlineLevel="0" collapsed="false">
      <c r="A50" s="6" t="n">
        <v>49</v>
      </c>
      <c r="B50" s="7" t="s">
        <v>14</v>
      </c>
      <c r="C50" s="7" t="s">
        <v>132</v>
      </c>
      <c r="D50" s="8" t="s">
        <v>145</v>
      </c>
      <c r="E50" s="7" t="s">
        <v>134</v>
      </c>
      <c r="F50" s="6" t="s">
        <v>31</v>
      </c>
      <c r="G50" s="7" t="s">
        <v>27</v>
      </c>
      <c r="H50" s="7" t="s">
        <v>20</v>
      </c>
      <c r="I50" s="7" t="s">
        <v>98</v>
      </c>
      <c r="J50" s="6" t="s">
        <v>22</v>
      </c>
      <c r="K50" s="6" t="n">
        <v>3</v>
      </c>
      <c r="L50" s="7" t="s">
        <v>136</v>
      </c>
      <c r="M50" s="6" t="n">
        <v>7</v>
      </c>
      <c r="N50" s="7" t="s">
        <v>24</v>
      </c>
    </row>
    <row r="51" customFormat="false" ht="29.85" hidden="false" customHeight="false" outlineLevel="0" collapsed="false">
      <c r="A51" s="6" t="n">
        <v>50</v>
      </c>
      <c r="B51" s="7" t="s">
        <v>14</v>
      </c>
      <c r="C51" s="7" t="s">
        <v>132</v>
      </c>
      <c r="D51" s="8" t="s">
        <v>146</v>
      </c>
      <c r="E51" s="7" t="s">
        <v>147</v>
      </c>
      <c r="F51" s="6" t="s">
        <v>26</v>
      </c>
      <c r="G51" s="7" t="s">
        <v>43</v>
      </c>
      <c r="H51" s="7" t="s">
        <v>20</v>
      </c>
      <c r="I51" s="7" t="s">
        <v>98</v>
      </c>
      <c r="J51" s="6" t="s">
        <v>22</v>
      </c>
      <c r="K51" s="6" t="n">
        <v>3</v>
      </c>
      <c r="L51" s="7" t="s">
        <v>136</v>
      </c>
      <c r="M51" s="6" t="n">
        <v>8</v>
      </c>
      <c r="N51" s="7" t="s">
        <v>24</v>
      </c>
    </row>
    <row r="52" customFormat="false" ht="29.85" hidden="false" customHeight="false" outlineLevel="0" collapsed="false">
      <c r="A52" s="6" t="n">
        <v>51</v>
      </c>
      <c r="B52" s="7" t="s">
        <v>14</v>
      </c>
      <c r="C52" s="7" t="s">
        <v>132</v>
      </c>
      <c r="D52" s="8" t="s">
        <v>148</v>
      </c>
      <c r="E52" s="7" t="s">
        <v>149</v>
      </c>
      <c r="F52" s="6" t="s">
        <v>31</v>
      </c>
      <c r="G52" s="7" t="s">
        <v>27</v>
      </c>
      <c r="H52" s="7" t="s">
        <v>20</v>
      </c>
      <c r="I52" s="7" t="s">
        <v>150</v>
      </c>
      <c r="J52" s="6" t="s">
        <v>22</v>
      </c>
      <c r="K52" s="6" t="n">
        <v>3</v>
      </c>
      <c r="L52" s="7" t="s">
        <v>136</v>
      </c>
      <c r="M52" s="6" t="n">
        <v>9</v>
      </c>
      <c r="N52" s="7" t="s">
        <v>24</v>
      </c>
    </row>
    <row r="53" customFormat="false" ht="15" hidden="false" customHeight="false" outlineLevel="0" collapsed="false">
      <c r="A53" s="6" t="n">
        <v>52</v>
      </c>
      <c r="B53" s="7" t="s">
        <v>14</v>
      </c>
      <c r="C53" s="7" t="s">
        <v>132</v>
      </c>
      <c r="D53" s="8" t="s">
        <v>151</v>
      </c>
      <c r="E53" s="7" t="s">
        <v>152</v>
      </c>
      <c r="F53" s="6" t="s">
        <v>82</v>
      </c>
      <c r="G53" s="7" t="s">
        <v>27</v>
      </c>
      <c r="H53" s="7" t="s">
        <v>38</v>
      </c>
      <c r="I53" s="7" t="s">
        <v>153</v>
      </c>
      <c r="J53" s="6" t="s">
        <v>22</v>
      </c>
      <c r="K53" s="6" t="n">
        <v>3</v>
      </c>
      <c r="L53" s="7" t="s">
        <v>136</v>
      </c>
      <c r="M53" s="6" t="n">
        <v>10</v>
      </c>
      <c r="N53" s="7" t="s">
        <v>40</v>
      </c>
    </row>
    <row r="54" customFormat="false" ht="29.85" hidden="false" customHeight="false" outlineLevel="0" collapsed="false">
      <c r="A54" s="6" t="n">
        <v>53</v>
      </c>
      <c r="B54" s="7" t="s">
        <v>14</v>
      </c>
      <c r="C54" s="7" t="s">
        <v>132</v>
      </c>
      <c r="D54" s="8" t="s">
        <v>154</v>
      </c>
      <c r="E54" s="7" t="s">
        <v>155</v>
      </c>
      <c r="F54" s="6" t="s">
        <v>31</v>
      </c>
      <c r="G54" s="7" t="s">
        <v>27</v>
      </c>
      <c r="H54" s="7" t="s">
        <v>20</v>
      </c>
      <c r="I54" s="7" t="s">
        <v>114</v>
      </c>
      <c r="J54" s="6" t="s">
        <v>22</v>
      </c>
      <c r="K54" s="6" t="n">
        <v>3</v>
      </c>
      <c r="L54" s="7" t="s">
        <v>136</v>
      </c>
      <c r="M54" s="6" t="n">
        <v>11</v>
      </c>
      <c r="N54" s="7" t="s">
        <v>24</v>
      </c>
    </row>
    <row r="55" customFormat="false" ht="29.85" hidden="false" customHeight="false" outlineLevel="0" collapsed="false">
      <c r="A55" s="6" t="n">
        <v>54</v>
      </c>
      <c r="B55" s="7" t="s">
        <v>14</v>
      </c>
      <c r="C55" s="7" t="s">
        <v>132</v>
      </c>
      <c r="D55" s="8" t="s">
        <v>156</v>
      </c>
      <c r="E55" s="7" t="s">
        <v>157</v>
      </c>
      <c r="F55" s="6" t="s">
        <v>26</v>
      </c>
      <c r="G55" s="7" t="s">
        <v>27</v>
      </c>
      <c r="H55" s="7" t="s">
        <v>20</v>
      </c>
      <c r="I55" s="7" t="s">
        <v>158</v>
      </c>
      <c r="J55" s="6" t="s">
        <v>22</v>
      </c>
      <c r="K55" s="6" t="n">
        <v>3</v>
      </c>
      <c r="L55" s="7" t="s">
        <v>136</v>
      </c>
      <c r="M55" s="6" t="n">
        <v>12</v>
      </c>
      <c r="N55" s="7" t="s">
        <v>24</v>
      </c>
    </row>
    <row r="56" customFormat="false" ht="29.85" hidden="false" customHeight="false" outlineLevel="0" collapsed="false">
      <c r="A56" s="6" t="n">
        <v>55</v>
      </c>
      <c r="B56" s="7" t="s">
        <v>14</v>
      </c>
      <c r="C56" s="7" t="s">
        <v>132</v>
      </c>
      <c r="D56" s="8" t="s">
        <v>159</v>
      </c>
      <c r="E56" s="7" t="s">
        <v>160</v>
      </c>
      <c r="F56" s="6" t="s">
        <v>31</v>
      </c>
      <c r="G56" s="7" t="s">
        <v>27</v>
      </c>
      <c r="H56" s="7" t="s">
        <v>38</v>
      </c>
      <c r="I56" s="7" t="s">
        <v>53</v>
      </c>
      <c r="J56" s="6" t="s">
        <v>22</v>
      </c>
      <c r="K56" s="6" t="n">
        <v>3</v>
      </c>
      <c r="L56" s="7" t="s">
        <v>136</v>
      </c>
      <c r="M56" s="6" t="n">
        <v>13</v>
      </c>
      <c r="N56" s="7" t="s">
        <v>40</v>
      </c>
    </row>
    <row r="57" customFormat="false" ht="29.85" hidden="false" customHeight="false" outlineLevel="0" collapsed="false">
      <c r="A57" s="6" t="n">
        <v>56</v>
      </c>
      <c r="B57" s="7" t="s">
        <v>14</v>
      </c>
      <c r="C57" s="7" t="s">
        <v>132</v>
      </c>
      <c r="D57" s="8" t="s">
        <v>161</v>
      </c>
      <c r="E57" s="7" t="s">
        <v>162</v>
      </c>
      <c r="F57" s="6" t="s">
        <v>26</v>
      </c>
      <c r="G57" s="7" t="s">
        <v>27</v>
      </c>
      <c r="H57" s="7" t="s">
        <v>38</v>
      </c>
      <c r="I57" s="7" t="s">
        <v>163</v>
      </c>
      <c r="J57" s="6" t="s">
        <v>22</v>
      </c>
      <c r="K57" s="6" t="n">
        <v>3</v>
      </c>
      <c r="L57" s="7" t="s">
        <v>136</v>
      </c>
      <c r="M57" s="6" t="n">
        <v>14</v>
      </c>
      <c r="N57" s="7" t="s">
        <v>40</v>
      </c>
    </row>
    <row r="58" customFormat="false" ht="29.85" hidden="false" customHeight="false" outlineLevel="0" collapsed="false">
      <c r="A58" s="6" t="n">
        <v>57</v>
      </c>
      <c r="B58" s="7" t="s">
        <v>14</v>
      </c>
      <c r="C58" s="7" t="s">
        <v>132</v>
      </c>
      <c r="D58" s="8" t="s">
        <v>164</v>
      </c>
      <c r="E58" s="7" t="s">
        <v>157</v>
      </c>
      <c r="F58" s="6" t="s">
        <v>26</v>
      </c>
      <c r="G58" s="7" t="s">
        <v>27</v>
      </c>
      <c r="H58" s="7" t="s">
        <v>38</v>
      </c>
      <c r="I58" s="7" t="s">
        <v>125</v>
      </c>
      <c r="J58" s="6" t="s">
        <v>22</v>
      </c>
      <c r="K58" s="6" t="n">
        <v>3</v>
      </c>
      <c r="L58" s="7" t="s">
        <v>136</v>
      </c>
      <c r="M58" s="6" t="n">
        <v>15</v>
      </c>
      <c r="N58" s="7" t="s">
        <v>40</v>
      </c>
    </row>
    <row r="59" customFormat="false" ht="15" hidden="false" customHeight="false" outlineLevel="0" collapsed="false">
      <c r="A59" s="6" t="n">
        <v>58</v>
      </c>
      <c r="B59" s="7" t="s">
        <v>14</v>
      </c>
      <c r="C59" s="7" t="s">
        <v>165</v>
      </c>
      <c r="D59" s="8" t="s">
        <v>166</v>
      </c>
      <c r="E59" s="7" t="s">
        <v>167</v>
      </c>
      <c r="F59" s="6" t="s">
        <v>31</v>
      </c>
      <c r="G59" s="7" t="s">
        <v>27</v>
      </c>
      <c r="H59" s="7" t="s">
        <v>20</v>
      </c>
      <c r="I59" s="7" t="s">
        <v>168</v>
      </c>
      <c r="J59" s="6" t="s">
        <v>22</v>
      </c>
      <c r="K59" s="6" t="n">
        <v>4</v>
      </c>
      <c r="L59" s="7" t="s">
        <v>169</v>
      </c>
      <c r="M59" s="6" t="n">
        <v>1</v>
      </c>
      <c r="N59" s="7" t="s">
        <v>24</v>
      </c>
    </row>
    <row r="60" customFormat="false" ht="15" hidden="false" customHeight="false" outlineLevel="0" collapsed="false">
      <c r="A60" s="6" t="n">
        <v>59</v>
      </c>
      <c r="B60" s="7" t="s">
        <v>14</v>
      </c>
      <c r="C60" s="7" t="s">
        <v>165</v>
      </c>
      <c r="D60" s="8" t="s">
        <v>170</v>
      </c>
      <c r="E60" s="7" t="s">
        <v>171</v>
      </c>
      <c r="F60" s="6" t="s">
        <v>31</v>
      </c>
      <c r="G60" s="7" t="s">
        <v>27</v>
      </c>
      <c r="H60" s="7" t="s">
        <v>20</v>
      </c>
      <c r="I60" s="7" t="s">
        <v>172</v>
      </c>
      <c r="J60" s="6" t="s">
        <v>22</v>
      </c>
      <c r="K60" s="6" t="n">
        <v>4</v>
      </c>
      <c r="L60" s="7" t="s">
        <v>169</v>
      </c>
      <c r="M60" s="6" t="n">
        <v>2</v>
      </c>
      <c r="N60" s="7" t="s">
        <v>24</v>
      </c>
    </row>
    <row r="61" customFormat="false" ht="15" hidden="false" customHeight="false" outlineLevel="0" collapsed="false">
      <c r="A61" s="6" t="n">
        <v>60</v>
      </c>
      <c r="B61" s="7" t="s">
        <v>14</v>
      </c>
      <c r="C61" s="7" t="s">
        <v>173</v>
      </c>
      <c r="D61" s="8" t="s">
        <v>174</v>
      </c>
      <c r="E61" s="7" t="s">
        <v>175</v>
      </c>
      <c r="F61" s="6" t="s">
        <v>31</v>
      </c>
      <c r="G61" s="7" t="s">
        <v>43</v>
      </c>
      <c r="H61" s="7" t="s">
        <v>20</v>
      </c>
      <c r="I61" s="7" t="s">
        <v>176</v>
      </c>
      <c r="J61" s="6" t="s">
        <v>22</v>
      </c>
      <c r="K61" s="6" t="n">
        <v>5</v>
      </c>
      <c r="L61" s="7" t="s">
        <v>177</v>
      </c>
      <c r="M61" s="6" t="n">
        <v>1</v>
      </c>
      <c r="N61" s="7" t="s">
        <v>24</v>
      </c>
    </row>
    <row r="62" customFormat="false" ht="15" hidden="false" customHeight="false" outlineLevel="0" collapsed="false">
      <c r="A62" s="6" t="n">
        <v>61</v>
      </c>
      <c r="B62" s="7" t="s">
        <v>14</v>
      </c>
      <c r="C62" s="7" t="s">
        <v>173</v>
      </c>
      <c r="D62" s="8" t="s">
        <v>178</v>
      </c>
      <c r="E62" s="7" t="s">
        <v>179</v>
      </c>
      <c r="F62" s="6" t="s">
        <v>31</v>
      </c>
      <c r="G62" s="7" t="s">
        <v>43</v>
      </c>
      <c r="H62" s="7" t="s">
        <v>20</v>
      </c>
      <c r="I62" s="7" t="s">
        <v>65</v>
      </c>
      <c r="J62" s="6" t="s">
        <v>22</v>
      </c>
      <c r="K62" s="6" t="n">
        <v>5</v>
      </c>
      <c r="L62" s="7" t="s">
        <v>177</v>
      </c>
      <c r="M62" s="6" t="n">
        <v>2</v>
      </c>
      <c r="N62" s="7" t="s">
        <v>24</v>
      </c>
    </row>
    <row r="63" customFormat="false" ht="15" hidden="false" customHeight="false" outlineLevel="0" collapsed="false">
      <c r="A63" s="6" t="n">
        <v>62</v>
      </c>
      <c r="B63" s="7" t="s">
        <v>14</v>
      </c>
      <c r="C63" s="7" t="s">
        <v>173</v>
      </c>
      <c r="D63" s="8" t="s">
        <v>180</v>
      </c>
      <c r="E63" s="7" t="s">
        <v>179</v>
      </c>
      <c r="F63" s="6" t="s">
        <v>31</v>
      </c>
      <c r="G63" s="7" t="s">
        <v>43</v>
      </c>
      <c r="H63" s="7" t="s">
        <v>20</v>
      </c>
      <c r="I63" s="7" t="s">
        <v>34</v>
      </c>
      <c r="J63" s="6" t="s">
        <v>22</v>
      </c>
      <c r="K63" s="6" t="n">
        <v>5</v>
      </c>
      <c r="L63" s="7" t="s">
        <v>177</v>
      </c>
      <c r="M63" s="6" t="n">
        <v>3</v>
      </c>
      <c r="N63" s="7" t="s">
        <v>24</v>
      </c>
    </row>
    <row r="64" customFormat="false" ht="15" hidden="false" customHeight="false" outlineLevel="0" collapsed="false">
      <c r="A64" s="6" t="n">
        <v>63</v>
      </c>
      <c r="B64" s="7" t="s">
        <v>14</v>
      </c>
      <c r="C64" s="7" t="s">
        <v>173</v>
      </c>
      <c r="D64" s="8" t="s">
        <v>181</v>
      </c>
      <c r="E64" s="7" t="s">
        <v>182</v>
      </c>
      <c r="F64" s="6" t="s">
        <v>31</v>
      </c>
      <c r="G64" s="7" t="s">
        <v>27</v>
      </c>
      <c r="H64" s="7" t="s">
        <v>20</v>
      </c>
      <c r="I64" s="7" t="s">
        <v>183</v>
      </c>
      <c r="J64" s="6" t="s">
        <v>22</v>
      </c>
      <c r="K64" s="6" t="n">
        <v>5</v>
      </c>
      <c r="L64" s="7" t="s">
        <v>177</v>
      </c>
      <c r="M64" s="6" t="n">
        <v>4</v>
      </c>
      <c r="N64" s="7" t="s">
        <v>24</v>
      </c>
    </row>
    <row r="65" customFormat="false" ht="15" hidden="false" customHeight="false" outlineLevel="0" collapsed="false">
      <c r="A65" s="6" t="n">
        <v>64</v>
      </c>
      <c r="B65" s="7" t="s">
        <v>14</v>
      </c>
      <c r="C65" s="7" t="s">
        <v>173</v>
      </c>
      <c r="D65" s="8" t="s">
        <v>184</v>
      </c>
      <c r="E65" s="7" t="s">
        <v>185</v>
      </c>
      <c r="F65" s="6" t="s">
        <v>37</v>
      </c>
      <c r="G65" s="7" t="s">
        <v>27</v>
      </c>
      <c r="H65" s="7" t="s">
        <v>38</v>
      </c>
      <c r="I65" s="7" t="s">
        <v>83</v>
      </c>
      <c r="J65" s="6" t="s">
        <v>22</v>
      </c>
      <c r="K65" s="6" t="n">
        <v>5</v>
      </c>
      <c r="L65" s="7" t="s">
        <v>177</v>
      </c>
      <c r="M65" s="6" t="n">
        <v>5</v>
      </c>
      <c r="N65" s="7" t="s">
        <v>40</v>
      </c>
    </row>
    <row r="66" customFormat="false" ht="15" hidden="false" customHeight="false" outlineLevel="0" collapsed="false">
      <c r="A66" s="6" t="n">
        <v>65</v>
      </c>
      <c r="B66" s="7" t="s">
        <v>14</v>
      </c>
      <c r="C66" s="7" t="s">
        <v>173</v>
      </c>
      <c r="D66" s="8" t="s">
        <v>186</v>
      </c>
      <c r="E66" s="7" t="s">
        <v>187</v>
      </c>
      <c r="F66" s="6" t="s">
        <v>18</v>
      </c>
      <c r="G66" s="7" t="s">
        <v>43</v>
      </c>
      <c r="H66" s="7" t="s">
        <v>20</v>
      </c>
      <c r="I66" s="7" t="s">
        <v>46</v>
      </c>
      <c r="J66" s="6" t="s">
        <v>22</v>
      </c>
      <c r="K66" s="6" t="n">
        <v>5</v>
      </c>
      <c r="L66" s="7" t="s">
        <v>177</v>
      </c>
      <c r="M66" s="6" t="n">
        <v>6</v>
      </c>
      <c r="N66" s="7" t="s">
        <v>24</v>
      </c>
    </row>
    <row r="67" customFormat="false" ht="15" hidden="false" customHeight="false" outlineLevel="0" collapsed="false">
      <c r="A67" s="6" t="n">
        <v>66</v>
      </c>
      <c r="B67" s="7" t="s">
        <v>14</v>
      </c>
      <c r="C67" s="7" t="s">
        <v>173</v>
      </c>
      <c r="D67" s="8" t="s">
        <v>188</v>
      </c>
      <c r="E67" s="7" t="s">
        <v>182</v>
      </c>
      <c r="F67" s="6" t="s">
        <v>31</v>
      </c>
      <c r="G67" s="7" t="s">
        <v>27</v>
      </c>
      <c r="H67" s="7" t="s">
        <v>20</v>
      </c>
      <c r="I67" s="7" t="s">
        <v>189</v>
      </c>
      <c r="J67" s="6" t="s">
        <v>22</v>
      </c>
      <c r="K67" s="6" t="n">
        <v>5</v>
      </c>
      <c r="L67" s="7" t="s">
        <v>177</v>
      </c>
      <c r="M67" s="6" t="n">
        <v>7</v>
      </c>
      <c r="N67" s="7" t="s">
        <v>24</v>
      </c>
    </row>
    <row r="68" customFormat="false" ht="29.85" hidden="false" customHeight="false" outlineLevel="0" collapsed="false">
      <c r="A68" s="6" t="n">
        <v>67</v>
      </c>
      <c r="B68" s="7" t="s">
        <v>14</v>
      </c>
      <c r="C68" s="7" t="s">
        <v>173</v>
      </c>
      <c r="D68" s="8" t="s">
        <v>190</v>
      </c>
      <c r="E68" s="7" t="s">
        <v>191</v>
      </c>
      <c r="F68" s="6" t="s">
        <v>26</v>
      </c>
      <c r="G68" s="7" t="s">
        <v>27</v>
      </c>
      <c r="H68" s="7" t="s">
        <v>20</v>
      </c>
      <c r="I68" s="7" t="s">
        <v>192</v>
      </c>
      <c r="J68" s="6" t="s">
        <v>22</v>
      </c>
      <c r="K68" s="6" t="n">
        <v>5</v>
      </c>
      <c r="L68" s="7" t="s">
        <v>177</v>
      </c>
      <c r="M68" s="6" t="n">
        <v>8</v>
      </c>
      <c r="N68" s="7" t="s">
        <v>24</v>
      </c>
    </row>
    <row r="69" customFormat="false" ht="29.85" hidden="false" customHeight="false" outlineLevel="0" collapsed="false">
      <c r="A69" s="6" t="n">
        <v>68</v>
      </c>
      <c r="B69" s="7" t="s">
        <v>14</v>
      </c>
      <c r="C69" s="7" t="s">
        <v>173</v>
      </c>
      <c r="D69" s="8" t="s">
        <v>193</v>
      </c>
      <c r="E69" s="7" t="s">
        <v>194</v>
      </c>
      <c r="F69" s="6" t="s">
        <v>26</v>
      </c>
      <c r="G69" s="7" t="s">
        <v>27</v>
      </c>
      <c r="H69" s="7" t="s">
        <v>20</v>
      </c>
      <c r="I69" s="7" t="s">
        <v>85</v>
      </c>
      <c r="J69" s="6" t="s">
        <v>22</v>
      </c>
      <c r="K69" s="6" t="n">
        <v>5</v>
      </c>
      <c r="L69" s="7" t="s">
        <v>177</v>
      </c>
      <c r="M69" s="6" t="n">
        <v>9</v>
      </c>
      <c r="N69" s="7" t="s">
        <v>24</v>
      </c>
    </row>
    <row r="70" customFormat="false" ht="15" hidden="false" customHeight="false" outlineLevel="0" collapsed="false">
      <c r="A70" s="6" t="n">
        <v>69</v>
      </c>
      <c r="B70" s="7" t="s">
        <v>14</v>
      </c>
      <c r="C70" s="7" t="s">
        <v>173</v>
      </c>
      <c r="D70" s="8" t="s">
        <v>195</v>
      </c>
      <c r="E70" s="7" t="s">
        <v>196</v>
      </c>
      <c r="F70" s="6" t="s">
        <v>82</v>
      </c>
      <c r="G70" s="7" t="s">
        <v>27</v>
      </c>
      <c r="H70" s="7" t="s">
        <v>38</v>
      </c>
      <c r="I70" s="7" t="s">
        <v>95</v>
      </c>
      <c r="J70" s="6" t="s">
        <v>22</v>
      </c>
      <c r="K70" s="6" t="n">
        <v>5</v>
      </c>
      <c r="L70" s="7" t="s">
        <v>177</v>
      </c>
      <c r="M70" s="6" t="n">
        <v>10</v>
      </c>
      <c r="N70" s="7" t="s">
        <v>40</v>
      </c>
    </row>
    <row r="71" customFormat="false" ht="29.85" hidden="false" customHeight="false" outlineLevel="0" collapsed="false">
      <c r="A71" s="6" t="n">
        <v>70</v>
      </c>
      <c r="B71" s="7" t="s">
        <v>14</v>
      </c>
      <c r="C71" s="7" t="s">
        <v>173</v>
      </c>
      <c r="D71" s="8" t="s">
        <v>197</v>
      </c>
      <c r="E71" s="7" t="s">
        <v>198</v>
      </c>
      <c r="F71" s="6" t="s">
        <v>31</v>
      </c>
      <c r="G71" s="7" t="s">
        <v>27</v>
      </c>
      <c r="H71" s="7" t="s">
        <v>20</v>
      </c>
      <c r="I71" s="7" t="s">
        <v>91</v>
      </c>
      <c r="J71" s="6" t="s">
        <v>22</v>
      </c>
      <c r="K71" s="6" t="n">
        <v>5</v>
      </c>
      <c r="L71" s="7" t="s">
        <v>177</v>
      </c>
      <c r="M71" s="6" t="n">
        <v>11</v>
      </c>
      <c r="N71" s="7" t="s">
        <v>24</v>
      </c>
    </row>
    <row r="72" customFormat="false" ht="29.85" hidden="false" customHeight="false" outlineLevel="0" collapsed="false">
      <c r="A72" s="6" t="n">
        <v>71</v>
      </c>
      <c r="B72" s="7" t="s">
        <v>14</v>
      </c>
      <c r="C72" s="7" t="s">
        <v>173</v>
      </c>
      <c r="D72" s="8" t="s">
        <v>199</v>
      </c>
      <c r="E72" s="7" t="s">
        <v>191</v>
      </c>
      <c r="F72" s="6" t="s">
        <v>26</v>
      </c>
      <c r="G72" s="7" t="s">
        <v>27</v>
      </c>
      <c r="H72" s="7" t="s">
        <v>20</v>
      </c>
      <c r="I72" s="7" t="s">
        <v>114</v>
      </c>
      <c r="J72" s="6" t="s">
        <v>22</v>
      </c>
      <c r="K72" s="6" t="n">
        <v>5</v>
      </c>
      <c r="L72" s="7" t="s">
        <v>177</v>
      </c>
      <c r="M72" s="6" t="n">
        <v>12</v>
      </c>
      <c r="N72" s="7" t="s">
        <v>24</v>
      </c>
    </row>
    <row r="73" customFormat="false" ht="29.85" hidden="false" customHeight="false" outlineLevel="0" collapsed="false">
      <c r="A73" s="6" t="n">
        <v>72</v>
      </c>
      <c r="B73" s="7" t="s">
        <v>14</v>
      </c>
      <c r="C73" s="7" t="s">
        <v>173</v>
      </c>
      <c r="D73" s="8" t="s">
        <v>200</v>
      </c>
      <c r="E73" s="7" t="s">
        <v>198</v>
      </c>
      <c r="F73" s="6" t="s">
        <v>31</v>
      </c>
      <c r="G73" s="7" t="s">
        <v>27</v>
      </c>
      <c r="H73" s="7" t="s">
        <v>20</v>
      </c>
      <c r="I73" s="7" t="s">
        <v>201</v>
      </c>
      <c r="J73" s="6" t="s">
        <v>22</v>
      </c>
      <c r="K73" s="6" t="n">
        <v>5</v>
      </c>
      <c r="L73" s="7" t="s">
        <v>177</v>
      </c>
      <c r="M73" s="6" t="n">
        <v>13</v>
      </c>
      <c r="N73" s="7" t="s">
        <v>24</v>
      </c>
    </row>
    <row r="74" customFormat="false" ht="29.85" hidden="false" customHeight="false" outlineLevel="0" collapsed="false">
      <c r="A74" s="6" t="n">
        <v>73</v>
      </c>
      <c r="B74" s="7" t="s">
        <v>14</v>
      </c>
      <c r="C74" s="7" t="s">
        <v>173</v>
      </c>
      <c r="D74" s="8" t="s">
        <v>202</v>
      </c>
      <c r="E74" s="7" t="s">
        <v>182</v>
      </c>
      <c r="F74" s="6" t="s">
        <v>31</v>
      </c>
      <c r="G74" s="7" t="s">
        <v>27</v>
      </c>
      <c r="H74" s="7" t="s">
        <v>20</v>
      </c>
      <c r="I74" s="7" t="s">
        <v>203</v>
      </c>
      <c r="J74" s="6" t="s">
        <v>22</v>
      </c>
      <c r="K74" s="6" t="n">
        <v>5</v>
      </c>
      <c r="L74" s="7" t="s">
        <v>177</v>
      </c>
      <c r="M74" s="6" t="n">
        <v>14</v>
      </c>
      <c r="N74" s="7" t="s">
        <v>24</v>
      </c>
    </row>
    <row r="75" customFormat="false" ht="15" hidden="false" customHeight="false" outlineLevel="0" collapsed="false">
      <c r="A75" s="6" t="n">
        <v>74</v>
      </c>
      <c r="B75" s="7" t="s">
        <v>14</v>
      </c>
      <c r="C75" s="7" t="s">
        <v>173</v>
      </c>
      <c r="D75" s="8" t="s">
        <v>204</v>
      </c>
      <c r="E75" s="7" t="s">
        <v>205</v>
      </c>
      <c r="F75" s="6" t="s">
        <v>37</v>
      </c>
      <c r="G75" s="7" t="s">
        <v>27</v>
      </c>
      <c r="H75" s="7" t="s">
        <v>38</v>
      </c>
      <c r="I75" s="7" t="s">
        <v>206</v>
      </c>
      <c r="J75" s="6" t="s">
        <v>22</v>
      </c>
      <c r="K75" s="6" t="n">
        <v>5</v>
      </c>
      <c r="L75" s="7" t="s">
        <v>177</v>
      </c>
      <c r="M75" s="6" t="n">
        <v>15</v>
      </c>
      <c r="N75" s="7" t="s">
        <v>40</v>
      </c>
    </row>
    <row r="76" customFormat="false" ht="15" hidden="false" customHeight="false" outlineLevel="0" collapsed="false">
      <c r="A76" s="3" t="n">
        <v>75</v>
      </c>
      <c r="B76" s="4" t="s">
        <v>14</v>
      </c>
      <c r="C76" s="4" t="s">
        <v>207</v>
      </c>
      <c r="D76" s="5" t="s">
        <v>208</v>
      </c>
      <c r="E76" s="4" t="s">
        <v>209</v>
      </c>
      <c r="F76" s="3" t="s">
        <v>18</v>
      </c>
      <c r="G76" s="4" t="s">
        <v>19</v>
      </c>
      <c r="H76" s="4" t="s">
        <v>20</v>
      </c>
      <c r="I76" s="4" t="s">
        <v>210</v>
      </c>
      <c r="J76" s="6" t="s">
        <v>22</v>
      </c>
      <c r="K76" s="6" t="n">
        <v>6</v>
      </c>
      <c r="L76" s="7" t="s">
        <v>211</v>
      </c>
      <c r="M76" s="6" t="n">
        <v>1</v>
      </c>
      <c r="N76" s="7" t="s">
        <v>24</v>
      </c>
    </row>
    <row r="77" customFormat="false" ht="15" hidden="false" customHeight="false" outlineLevel="0" collapsed="false">
      <c r="A77" s="6" t="n">
        <v>76</v>
      </c>
      <c r="B77" s="7" t="s">
        <v>14</v>
      </c>
      <c r="C77" s="7" t="s">
        <v>207</v>
      </c>
      <c r="D77" s="8" t="s">
        <v>212</v>
      </c>
      <c r="E77" s="7" t="s">
        <v>213</v>
      </c>
      <c r="F77" s="6" t="s">
        <v>214</v>
      </c>
      <c r="G77" s="7" t="s">
        <v>43</v>
      </c>
      <c r="H77" s="7" t="s">
        <v>20</v>
      </c>
      <c r="I77" s="7" t="s">
        <v>172</v>
      </c>
      <c r="J77" s="6" t="s">
        <v>22</v>
      </c>
      <c r="K77" s="6" t="n">
        <v>6</v>
      </c>
      <c r="L77" s="7" t="s">
        <v>211</v>
      </c>
      <c r="M77" s="6" t="n">
        <v>2</v>
      </c>
      <c r="N77" s="7" t="s">
        <v>24</v>
      </c>
    </row>
    <row r="78" customFormat="false" ht="15" hidden="false" customHeight="false" outlineLevel="0" collapsed="false">
      <c r="A78" s="6" t="n">
        <v>77</v>
      </c>
      <c r="B78" s="7" t="s">
        <v>14</v>
      </c>
      <c r="C78" s="7" t="s">
        <v>207</v>
      </c>
      <c r="D78" s="8" t="s">
        <v>215</v>
      </c>
      <c r="E78" s="7" t="s">
        <v>216</v>
      </c>
      <c r="F78" s="6" t="s">
        <v>26</v>
      </c>
      <c r="G78" s="7" t="s">
        <v>27</v>
      </c>
      <c r="H78" s="7" t="s">
        <v>20</v>
      </c>
      <c r="I78" s="7" t="s">
        <v>65</v>
      </c>
      <c r="J78" s="6" t="s">
        <v>22</v>
      </c>
      <c r="K78" s="6" t="n">
        <v>6</v>
      </c>
      <c r="L78" s="7" t="s">
        <v>211</v>
      </c>
      <c r="M78" s="6" t="n">
        <v>3</v>
      </c>
      <c r="N78" s="7" t="s">
        <v>24</v>
      </c>
    </row>
    <row r="79" customFormat="false" ht="15" hidden="false" customHeight="false" outlineLevel="0" collapsed="false">
      <c r="A79" s="6" t="n">
        <v>78</v>
      </c>
      <c r="B79" s="7" t="s">
        <v>14</v>
      </c>
      <c r="C79" s="7" t="s">
        <v>207</v>
      </c>
      <c r="D79" s="8" t="s">
        <v>217</v>
      </c>
      <c r="E79" s="7" t="s">
        <v>218</v>
      </c>
      <c r="F79" s="6" t="s">
        <v>31</v>
      </c>
      <c r="G79" s="7" t="s">
        <v>27</v>
      </c>
      <c r="H79" s="7" t="s">
        <v>20</v>
      </c>
      <c r="I79" s="7" t="s">
        <v>65</v>
      </c>
      <c r="J79" s="6" t="s">
        <v>22</v>
      </c>
      <c r="K79" s="6" t="n">
        <v>6</v>
      </c>
      <c r="L79" s="7" t="s">
        <v>211</v>
      </c>
      <c r="M79" s="6" t="n">
        <v>4</v>
      </c>
      <c r="N79" s="7" t="s">
        <v>24</v>
      </c>
    </row>
    <row r="80" customFormat="false" ht="15" hidden="false" customHeight="false" outlineLevel="0" collapsed="false">
      <c r="A80" s="6" t="n">
        <v>79</v>
      </c>
      <c r="B80" s="7" t="s">
        <v>14</v>
      </c>
      <c r="C80" s="7" t="s">
        <v>207</v>
      </c>
      <c r="D80" s="8" t="s">
        <v>219</v>
      </c>
      <c r="E80" s="7" t="s">
        <v>220</v>
      </c>
      <c r="F80" s="6" t="s">
        <v>37</v>
      </c>
      <c r="G80" s="7" t="s">
        <v>27</v>
      </c>
      <c r="H80" s="7" t="s">
        <v>38</v>
      </c>
      <c r="I80" s="7" t="s">
        <v>83</v>
      </c>
      <c r="J80" s="6" t="s">
        <v>22</v>
      </c>
      <c r="K80" s="6" t="n">
        <v>6</v>
      </c>
      <c r="L80" s="7" t="s">
        <v>211</v>
      </c>
      <c r="M80" s="6" t="n">
        <v>5</v>
      </c>
      <c r="N80" s="7" t="s">
        <v>40</v>
      </c>
    </row>
    <row r="81" customFormat="false" ht="15" hidden="false" customHeight="false" outlineLevel="0" collapsed="false">
      <c r="A81" s="3" t="n">
        <v>80</v>
      </c>
      <c r="B81" s="4" t="s">
        <v>14</v>
      </c>
      <c r="C81" s="4" t="s">
        <v>207</v>
      </c>
      <c r="D81" s="5" t="s">
        <v>221</v>
      </c>
      <c r="E81" s="4" t="s">
        <v>222</v>
      </c>
      <c r="F81" s="3" t="s">
        <v>18</v>
      </c>
      <c r="G81" s="4" t="s">
        <v>19</v>
      </c>
      <c r="H81" s="4" t="s">
        <v>20</v>
      </c>
      <c r="I81" s="4" t="s">
        <v>135</v>
      </c>
      <c r="J81" s="6" t="s">
        <v>22</v>
      </c>
      <c r="K81" s="6" t="n">
        <v>6</v>
      </c>
      <c r="L81" s="7" t="s">
        <v>211</v>
      </c>
      <c r="M81" s="6" t="n">
        <v>6</v>
      </c>
      <c r="N81" s="7" t="s">
        <v>24</v>
      </c>
    </row>
    <row r="82" customFormat="false" ht="15" hidden="false" customHeight="false" outlineLevel="0" collapsed="false">
      <c r="A82" s="6" t="n">
        <v>81</v>
      </c>
      <c r="B82" s="7" t="s">
        <v>14</v>
      </c>
      <c r="C82" s="7" t="s">
        <v>207</v>
      </c>
      <c r="D82" s="8" t="s">
        <v>223</v>
      </c>
      <c r="E82" s="7" t="s">
        <v>224</v>
      </c>
      <c r="F82" s="6" t="s">
        <v>18</v>
      </c>
      <c r="G82" s="7" t="s">
        <v>43</v>
      </c>
      <c r="H82" s="7" t="s">
        <v>20</v>
      </c>
      <c r="I82" s="7" t="s">
        <v>135</v>
      </c>
      <c r="J82" s="6" t="s">
        <v>22</v>
      </c>
      <c r="K82" s="6" t="n">
        <v>6</v>
      </c>
      <c r="L82" s="7" t="s">
        <v>211</v>
      </c>
      <c r="M82" s="6" t="n">
        <v>7</v>
      </c>
      <c r="N82" s="7" t="s">
        <v>24</v>
      </c>
    </row>
    <row r="83" customFormat="false" ht="15" hidden="false" customHeight="false" outlineLevel="0" collapsed="false">
      <c r="A83" s="6" t="n">
        <v>82</v>
      </c>
      <c r="B83" s="7" t="s">
        <v>14</v>
      </c>
      <c r="C83" s="7" t="s">
        <v>207</v>
      </c>
      <c r="D83" s="8" t="s">
        <v>225</v>
      </c>
      <c r="E83" s="7" t="s">
        <v>226</v>
      </c>
      <c r="F83" s="6" t="s">
        <v>31</v>
      </c>
      <c r="G83" s="7" t="s">
        <v>43</v>
      </c>
      <c r="H83" s="7" t="s">
        <v>20</v>
      </c>
      <c r="I83" s="7" t="s">
        <v>135</v>
      </c>
      <c r="J83" s="6" t="s">
        <v>22</v>
      </c>
      <c r="K83" s="6" t="n">
        <v>6</v>
      </c>
      <c r="L83" s="7" t="s">
        <v>211</v>
      </c>
      <c r="M83" s="6" t="n">
        <v>8</v>
      </c>
      <c r="N83" s="7" t="s">
        <v>24</v>
      </c>
    </row>
    <row r="84" customFormat="false" ht="15" hidden="false" customHeight="false" outlineLevel="0" collapsed="false">
      <c r="A84" s="6" t="n">
        <v>83</v>
      </c>
      <c r="B84" s="7" t="s">
        <v>14</v>
      </c>
      <c r="C84" s="7" t="s">
        <v>207</v>
      </c>
      <c r="D84" s="8" t="s">
        <v>227</v>
      </c>
      <c r="E84" s="7" t="s">
        <v>224</v>
      </c>
      <c r="F84" s="6" t="s">
        <v>18</v>
      </c>
      <c r="G84" s="7" t="s">
        <v>43</v>
      </c>
      <c r="H84" s="7" t="s">
        <v>20</v>
      </c>
      <c r="I84" s="7" t="s">
        <v>32</v>
      </c>
      <c r="J84" s="6" t="s">
        <v>22</v>
      </c>
      <c r="K84" s="6" t="n">
        <v>6</v>
      </c>
      <c r="L84" s="7" t="s">
        <v>211</v>
      </c>
      <c r="M84" s="6" t="n">
        <v>9</v>
      </c>
      <c r="N84" s="7" t="s">
        <v>24</v>
      </c>
    </row>
    <row r="85" customFormat="false" ht="15" hidden="false" customHeight="false" outlineLevel="0" collapsed="false">
      <c r="A85" s="6" t="n">
        <v>84</v>
      </c>
      <c r="B85" s="7" t="s">
        <v>14</v>
      </c>
      <c r="C85" s="7" t="s">
        <v>207</v>
      </c>
      <c r="D85" s="8" t="s">
        <v>228</v>
      </c>
      <c r="E85" s="7" t="s">
        <v>229</v>
      </c>
      <c r="F85" s="6" t="s">
        <v>82</v>
      </c>
      <c r="G85" s="7" t="s">
        <v>27</v>
      </c>
      <c r="H85" s="7" t="s">
        <v>38</v>
      </c>
      <c r="I85" s="7" t="s">
        <v>83</v>
      </c>
      <c r="J85" s="6" t="s">
        <v>22</v>
      </c>
      <c r="K85" s="6" t="n">
        <v>6</v>
      </c>
      <c r="L85" s="7" t="s">
        <v>211</v>
      </c>
      <c r="M85" s="6" t="n">
        <v>10</v>
      </c>
      <c r="N85" s="7" t="s">
        <v>40</v>
      </c>
    </row>
    <row r="86" customFormat="false" ht="15" hidden="false" customHeight="false" outlineLevel="0" collapsed="false">
      <c r="A86" s="6" t="n">
        <v>85</v>
      </c>
      <c r="B86" s="7" t="s">
        <v>14</v>
      </c>
      <c r="C86" s="7" t="s">
        <v>207</v>
      </c>
      <c r="D86" s="8" t="s">
        <v>230</v>
      </c>
      <c r="E86" s="7" t="s">
        <v>231</v>
      </c>
      <c r="F86" s="6" t="s">
        <v>214</v>
      </c>
      <c r="G86" s="7" t="s">
        <v>43</v>
      </c>
      <c r="H86" s="7" t="s">
        <v>20</v>
      </c>
      <c r="I86" s="7" t="s">
        <v>32</v>
      </c>
      <c r="J86" s="6" t="s">
        <v>22</v>
      </c>
      <c r="K86" s="6" t="n">
        <v>6</v>
      </c>
      <c r="L86" s="7" t="s">
        <v>211</v>
      </c>
      <c r="M86" s="6" t="n">
        <v>11</v>
      </c>
      <c r="N86" s="7" t="s">
        <v>24</v>
      </c>
    </row>
    <row r="87" customFormat="false" ht="15" hidden="false" customHeight="false" outlineLevel="0" collapsed="false">
      <c r="A87" s="6" t="n">
        <v>86</v>
      </c>
      <c r="B87" s="7" t="s">
        <v>14</v>
      </c>
      <c r="C87" s="7" t="s">
        <v>207</v>
      </c>
      <c r="D87" s="8" t="s">
        <v>232</v>
      </c>
      <c r="E87" s="7" t="s">
        <v>233</v>
      </c>
      <c r="F87" s="6" t="s">
        <v>214</v>
      </c>
      <c r="G87" s="7" t="s">
        <v>43</v>
      </c>
      <c r="H87" s="7" t="s">
        <v>20</v>
      </c>
      <c r="I87" s="7" t="s">
        <v>183</v>
      </c>
      <c r="J87" s="6" t="s">
        <v>22</v>
      </c>
      <c r="K87" s="6" t="n">
        <v>6</v>
      </c>
      <c r="L87" s="7" t="s">
        <v>211</v>
      </c>
      <c r="M87" s="6" t="n">
        <v>12</v>
      </c>
      <c r="N87" s="7" t="s">
        <v>24</v>
      </c>
    </row>
    <row r="88" customFormat="false" ht="15" hidden="false" customHeight="false" outlineLevel="0" collapsed="false">
      <c r="A88" s="6" t="n">
        <v>87</v>
      </c>
      <c r="B88" s="7" t="s">
        <v>14</v>
      </c>
      <c r="C88" s="7" t="s">
        <v>207</v>
      </c>
      <c r="D88" s="8" t="s">
        <v>234</v>
      </c>
      <c r="E88" s="7" t="s">
        <v>235</v>
      </c>
      <c r="F88" s="6" t="s">
        <v>18</v>
      </c>
      <c r="G88" s="7" t="s">
        <v>43</v>
      </c>
      <c r="H88" s="7" t="s">
        <v>20</v>
      </c>
      <c r="I88" s="7" t="s">
        <v>138</v>
      </c>
      <c r="J88" s="6" t="s">
        <v>22</v>
      </c>
      <c r="K88" s="6" t="n">
        <v>6</v>
      </c>
      <c r="L88" s="7" t="s">
        <v>211</v>
      </c>
      <c r="M88" s="6" t="n">
        <v>13</v>
      </c>
      <c r="N88" s="7" t="s">
        <v>24</v>
      </c>
    </row>
    <row r="89" customFormat="false" ht="15" hidden="false" customHeight="false" outlineLevel="0" collapsed="false">
      <c r="A89" s="6" t="n">
        <v>88</v>
      </c>
      <c r="B89" s="7" t="s">
        <v>14</v>
      </c>
      <c r="C89" s="7" t="s">
        <v>207</v>
      </c>
      <c r="D89" s="9" t="s">
        <v>236</v>
      </c>
      <c r="E89" s="7" t="s">
        <v>237</v>
      </c>
      <c r="F89" s="6" t="s">
        <v>214</v>
      </c>
      <c r="G89" s="7" t="s">
        <v>43</v>
      </c>
      <c r="H89" s="7" t="s">
        <v>20</v>
      </c>
      <c r="I89" s="7" t="s">
        <v>138</v>
      </c>
      <c r="J89" s="6" t="s">
        <v>22</v>
      </c>
      <c r="K89" s="6" t="n">
        <v>6</v>
      </c>
      <c r="L89" s="7" t="s">
        <v>211</v>
      </c>
      <c r="M89" s="6" t="n">
        <v>14</v>
      </c>
      <c r="N89" s="7" t="s">
        <v>24</v>
      </c>
    </row>
    <row r="90" customFormat="false" ht="15" hidden="false" customHeight="false" outlineLevel="0" collapsed="false">
      <c r="A90" s="6" t="n">
        <v>89</v>
      </c>
      <c r="B90" s="7" t="s">
        <v>14</v>
      </c>
      <c r="C90" s="7" t="s">
        <v>207</v>
      </c>
      <c r="D90" s="9" t="s">
        <v>238</v>
      </c>
      <c r="E90" s="8" t="s">
        <v>239</v>
      </c>
      <c r="F90" s="6" t="s">
        <v>37</v>
      </c>
      <c r="G90" s="7" t="s">
        <v>27</v>
      </c>
      <c r="H90" s="7" t="s">
        <v>38</v>
      </c>
      <c r="I90" s="7" t="s">
        <v>83</v>
      </c>
      <c r="J90" s="6" t="s">
        <v>22</v>
      </c>
      <c r="K90" s="6" t="n">
        <v>6</v>
      </c>
      <c r="L90" s="7" t="s">
        <v>211</v>
      </c>
      <c r="M90" s="6" t="n">
        <v>15</v>
      </c>
      <c r="N90" s="7" t="s">
        <v>40</v>
      </c>
    </row>
    <row r="91" customFormat="false" ht="26.85" hidden="false" customHeight="false" outlineLevel="0" collapsed="false">
      <c r="A91" s="6" t="n">
        <v>90</v>
      </c>
      <c r="B91" s="7" t="s">
        <v>14</v>
      </c>
      <c r="C91" s="7" t="s">
        <v>207</v>
      </c>
      <c r="D91" s="8" t="s">
        <v>240</v>
      </c>
      <c r="E91" s="7" t="s">
        <v>241</v>
      </c>
      <c r="F91" s="6" t="s">
        <v>214</v>
      </c>
      <c r="G91" s="7" t="s">
        <v>43</v>
      </c>
      <c r="H91" s="7" t="s">
        <v>20</v>
      </c>
      <c r="I91" s="7" t="s">
        <v>189</v>
      </c>
      <c r="J91" s="6" t="s">
        <v>22</v>
      </c>
      <c r="K91" s="6" t="n">
        <v>6</v>
      </c>
      <c r="L91" s="7" t="s">
        <v>211</v>
      </c>
      <c r="M91" s="6" t="n">
        <v>16</v>
      </c>
      <c r="N91" s="7" t="s">
        <v>24</v>
      </c>
    </row>
    <row r="92" customFormat="false" ht="29.85" hidden="false" customHeight="false" outlineLevel="0" collapsed="false">
      <c r="A92" s="6" t="n">
        <v>91</v>
      </c>
      <c r="B92" s="7" t="s">
        <v>14</v>
      </c>
      <c r="C92" s="7" t="s">
        <v>207</v>
      </c>
      <c r="D92" s="8" t="s">
        <v>242</v>
      </c>
      <c r="E92" s="7" t="s">
        <v>235</v>
      </c>
      <c r="F92" s="6" t="s">
        <v>18</v>
      </c>
      <c r="G92" s="7" t="s">
        <v>43</v>
      </c>
      <c r="H92" s="7" t="s">
        <v>20</v>
      </c>
      <c r="I92" s="7" t="s">
        <v>243</v>
      </c>
      <c r="J92" s="6" t="s">
        <v>22</v>
      </c>
      <c r="K92" s="6" t="n">
        <v>6</v>
      </c>
      <c r="L92" s="7" t="s">
        <v>211</v>
      </c>
      <c r="M92" s="6" t="n">
        <v>17</v>
      </c>
      <c r="N92" s="7" t="s">
        <v>24</v>
      </c>
    </row>
    <row r="93" customFormat="false" ht="29.85" hidden="false" customHeight="false" outlineLevel="0" collapsed="false">
      <c r="A93" s="6" t="n">
        <v>92</v>
      </c>
      <c r="B93" s="7" t="s">
        <v>14</v>
      </c>
      <c r="C93" s="7" t="s">
        <v>207</v>
      </c>
      <c r="D93" s="8" t="s">
        <v>244</v>
      </c>
      <c r="E93" s="7" t="s">
        <v>245</v>
      </c>
      <c r="F93" s="6" t="s">
        <v>31</v>
      </c>
      <c r="G93" s="7" t="s">
        <v>27</v>
      </c>
      <c r="H93" s="7" t="s">
        <v>20</v>
      </c>
      <c r="I93" s="7" t="s">
        <v>192</v>
      </c>
      <c r="J93" s="6" t="s">
        <v>22</v>
      </c>
      <c r="K93" s="6" t="n">
        <v>6</v>
      </c>
      <c r="L93" s="7" t="s">
        <v>211</v>
      </c>
      <c r="M93" s="6" t="n">
        <v>18</v>
      </c>
      <c r="N93" s="7" t="s">
        <v>24</v>
      </c>
    </row>
    <row r="94" customFormat="false" ht="29.85" hidden="false" customHeight="false" outlineLevel="0" collapsed="false">
      <c r="A94" s="6" t="n">
        <v>93</v>
      </c>
      <c r="B94" s="7" t="s">
        <v>14</v>
      </c>
      <c r="C94" s="7" t="s">
        <v>207</v>
      </c>
      <c r="D94" s="8" t="s">
        <v>246</v>
      </c>
      <c r="E94" s="7" t="s">
        <v>247</v>
      </c>
      <c r="F94" s="6" t="s">
        <v>18</v>
      </c>
      <c r="G94" s="7" t="s">
        <v>43</v>
      </c>
      <c r="H94" s="7" t="s">
        <v>20</v>
      </c>
      <c r="I94" s="7" t="s">
        <v>192</v>
      </c>
      <c r="J94" s="6" t="s">
        <v>22</v>
      </c>
      <c r="K94" s="6" t="n">
        <v>6</v>
      </c>
      <c r="L94" s="7" t="s">
        <v>211</v>
      </c>
      <c r="M94" s="6" t="n">
        <v>19</v>
      </c>
      <c r="N94" s="7" t="s">
        <v>24</v>
      </c>
    </row>
    <row r="95" customFormat="false" ht="15" hidden="false" customHeight="false" outlineLevel="0" collapsed="false">
      <c r="A95" s="6" t="n">
        <v>94</v>
      </c>
      <c r="B95" s="7" t="s">
        <v>14</v>
      </c>
      <c r="C95" s="7" t="s">
        <v>207</v>
      </c>
      <c r="D95" s="9" t="s">
        <v>248</v>
      </c>
      <c r="E95" s="7" t="s">
        <v>249</v>
      </c>
      <c r="F95" s="6" t="s">
        <v>37</v>
      </c>
      <c r="G95" s="7" t="s">
        <v>27</v>
      </c>
      <c r="H95" s="7" t="s">
        <v>38</v>
      </c>
      <c r="I95" s="7" t="s">
        <v>95</v>
      </c>
      <c r="J95" s="6" t="s">
        <v>22</v>
      </c>
      <c r="K95" s="6" t="n">
        <v>6</v>
      </c>
      <c r="L95" s="7" t="s">
        <v>211</v>
      </c>
      <c r="M95" s="6" t="n">
        <v>20</v>
      </c>
      <c r="N95" s="7" t="s">
        <v>40</v>
      </c>
    </row>
    <row r="96" customFormat="false" ht="29.85" hidden="false" customHeight="false" outlineLevel="0" collapsed="false">
      <c r="A96" s="6" t="n">
        <v>95</v>
      </c>
      <c r="B96" s="7" t="s">
        <v>14</v>
      </c>
      <c r="C96" s="7" t="s">
        <v>207</v>
      </c>
      <c r="D96" s="8" t="s">
        <v>250</v>
      </c>
      <c r="E96" s="7" t="s">
        <v>251</v>
      </c>
      <c r="F96" s="6" t="s">
        <v>214</v>
      </c>
      <c r="G96" s="7" t="s">
        <v>43</v>
      </c>
      <c r="H96" s="7" t="s">
        <v>20</v>
      </c>
      <c r="I96" s="7" t="s">
        <v>192</v>
      </c>
      <c r="J96" s="6" t="s">
        <v>22</v>
      </c>
      <c r="K96" s="6" t="n">
        <v>6</v>
      </c>
      <c r="L96" s="7" t="s">
        <v>211</v>
      </c>
      <c r="M96" s="6" t="n">
        <v>21</v>
      </c>
      <c r="N96" s="7" t="s">
        <v>24</v>
      </c>
    </row>
    <row r="97" customFormat="false" ht="29.85" hidden="false" customHeight="false" outlineLevel="0" collapsed="false">
      <c r="A97" s="6" t="n">
        <v>96</v>
      </c>
      <c r="B97" s="7" t="s">
        <v>14</v>
      </c>
      <c r="C97" s="7" t="s">
        <v>207</v>
      </c>
      <c r="D97" s="8" t="s">
        <v>252</v>
      </c>
      <c r="E97" s="7" t="s">
        <v>253</v>
      </c>
      <c r="F97" s="6" t="s">
        <v>18</v>
      </c>
      <c r="G97" s="7" t="s">
        <v>43</v>
      </c>
      <c r="H97" s="7" t="s">
        <v>20</v>
      </c>
      <c r="I97" s="7" t="s">
        <v>254</v>
      </c>
      <c r="J97" s="6" t="s">
        <v>22</v>
      </c>
      <c r="K97" s="6" t="n">
        <v>6</v>
      </c>
      <c r="L97" s="7" t="s">
        <v>211</v>
      </c>
      <c r="M97" s="6" t="n">
        <v>22</v>
      </c>
      <c r="N97" s="7" t="s">
        <v>24</v>
      </c>
    </row>
    <row r="98" customFormat="false" ht="29.85" hidden="false" customHeight="false" outlineLevel="0" collapsed="false">
      <c r="A98" s="6" t="n">
        <v>97</v>
      </c>
      <c r="B98" s="7" t="s">
        <v>14</v>
      </c>
      <c r="C98" s="7" t="s">
        <v>207</v>
      </c>
      <c r="D98" s="8" t="s">
        <v>255</v>
      </c>
      <c r="E98" s="7" t="s">
        <v>256</v>
      </c>
      <c r="F98" s="6" t="s">
        <v>18</v>
      </c>
      <c r="G98" s="7" t="s">
        <v>43</v>
      </c>
      <c r="H98" s="7" t="s">
        <v>20</v>
      </c>
      <c r="I98" s="7" t="s">
        <v>76</v>
      </c>
      <c r="J98" s="6" t="s">
        <v>22</v>
      </c>
      <c r="K98" s="6" t="n">
        <v>6</v>
      </c>
      <c r="L98" s="7" t="s">
        <v>211</v>
      </c>
      <c r="M98" s="6" t="n">
        <v>23</v>
      </c>
      <c r="N98" s="7" t="s">
        <v>24</v>
      </c>
    </row>
    <row r="99" customFormat="false" ht="29.85" hidden="false" customHeight="false" outlineLevel="0" collapsed="false">
      <c r="A99" s="6" t="n">
        <v>98</v>
      </c>
      <c r="B99" s="7" t="s">
        <v>14</v>
      </c>
      <c r="C99" s="7" t="s">
        <v>207</v>
      </c>
      <c r="D99" s="9" t="s">
        <v>257</v>
      </c>
      <c r="E99" s="7" t="s">
        <v>258</v>
      </c>
      <c r="F99" s="6" t="s">
        <v>214</v>
      </c>
      <c r="G99" s="7" t="s">
        <v>43</v>
      </c>
      <c r="H99" s="7" t="s">
        <v>20</v>
      </c>
      <c r="I99" s="7" t="s">
        <v>76</v>
      </c>
      <c r="J99" s="6" t="s">
        <v>22</v>
      </c>
      <c r="K99" s="6" t="n">
        <v>6</v>
      </c>
      <c r="L99" s="7" t="s">
        <v>211</v>
      </c>
      <c r="M99" s="6" t="n">
        <v>24</v>
      </c>
      <c r="N99" s="7" t="s">
        <v>24</v>
      </c>
    </row>
    <row r="100" customFormat="false" ht="15" hidden="false" customHeight="false" outlineLevel="0" collapsed="false">
      <c r="A100" s="6" t="n">
        <v>99</v>
      </c>
      <c r="B100" s="7" t="s">
        <v>14</v>
      </c>
      <c r="C100" s="7" t="s">
        <v>207</v>
      </c>
      <c r="D100" s="8" t="s">
        <v>259</v>
      </c>
      <c r="E100" s="7" t="s">
        <v>260</v>
      </c>
      <c r="F100" s="6" t="s">
        <v>37</v>
      </c>
      <c r="G100" s="7" t="s">
        <v>27</v>
      </c>
      <c r="H100" s="7" t="s">
        <v>38</v>
      </c>
      <c r="I100" s="7" t="s">
        <v>108</v>
      </c>
      <c r="J100" s="6" t="s">
        <v>22</v>
      </c>
      <c r="K100" s="6" t="n">
        <v>6</v>
      </c>
      <c r="L100" s="7" t="s">
        <v>211</v>
      </c>
      <c r="M100" s="6" t="n">
        <v>25</v>
      </c>
      <c r="N100" s="7" t="s">
        <v>40</v>
      </c>
    </row>
    <row r="101" customFormat="false" ht="29.85" hidden="false" customHeight="false" outlineLevel="0" collapsed="false">
      <c r="A101" s="3" t="n">
        <v>100</v>
      </c>
      <c r="B101" s="4" t="s">
        <v>14</v>
      </c>
      <c r="C101" s="4" t="s">
        <v>207</v>
      </c>
      <c r="D101" s="5" t="s">
        <v>261</v>
      </c>
      <c r="E101" s="4" t="s">
        <v>262</v>
      </c>
      <c r="F101" s="3" t="s">
        <v>18</v>
      </c>
      <c r="G101" s="4" t="s">
        <v>19</v>
      </c>
      <c r="H101" s="4" t="s">
        <v>20</v>
      </c>
      <c r="I101" s="4" t="s">
        <v>76</v>
      </c>
      <c r="J101" s="6" t="s">
        <v>22</v>
      </c>
      <c r="K101" s="6" t="n">
        <v>6</v>
      </c>
      <c r="L101" s="7" t="s">
        <v>211</v>
      </c>
      <c r="M101" s="6" t="n">
        <v>26</v>
      </c>
      <c r="N101" s="7" t="s">
        <v>24</v>
      </c>
    </row>
    <row r="102" customFormat="false" ht="29.85" hidden="false" customHeight="false" outlineLevel="0" collapsed="false">
      <c r="A102" s="6" t="n">
        <v>101</v>
      </c>
      <c r="B102" s="7" t="s">
        <v>14</v>
      </c>
      <c r="C102" s="7" t="s">
        <v>207</v>
      </c>
      <c r="D102" s="8" t="s">
        <v>263</v>
      </c>
      <c r="E102" s="7" t="s">
        <v>245</v>
      </c>
      <c r="F102" s="6" t="s">
        <v>31</v>
      </c>
      <c r="G102" s="7" t="s">
        <v>27</v>
      </c>
      <c r="H102" s="7" t="s">
        <v>20</v>
      </c>
      <c r="I102" s="7" t="s">
        <v>49</v>
      </c>
      <c r="J102" s="6" t="s">
        <v>22</v>
      </c>
      <c r="K102" s="6" t="n">
        <v>6</v>
      </c>
      <c r="L102" s="7" t="s">
        <v>211</v>
      </c>
      <c r="M102" s="6" t="n">
        <v>27</v>
      </c>
      <c r="N102" s="7" t="s">
        <v>24</v>
      </c>
    </row>
    <row r="103" customFormat="false" ht="29.85" hidden="false" customHeight="false" outlineLevel="0" collapsed="false">
      <c r="A103" s="6" t="n">
        <v>102</v>
      </c>
      <c r="B103" s="7" t="s">
        <v>14</v>
      </c>
      <c r="C103" s="7" t="s">
        <v>207</v>
      </c>
      <c r="D103" s="9" t="s">
        <v>264</v>
      </c>
      <c r="E103" s="7" t="s">
        <v>265</v>
      </c>
      <c r="F103" s="6" t="s">
        <v>214</v>
      </c>
      <c r="G103" s="7" t="s">
        <v>43</v>
      </c>
      <c r="H103" s="7" t="s">
        <v>20</v>
      </c>
      <c r="I103" s="7" t="s">
        <v>49</v>
      </c>
      <c r="J103" s="6" t="s">
        <v>22</v>
      </c>
      <c r="K103" s="6" t="n">
        <v>6</v>
      </c>
      <c r="L103" s="7" t="s">
        <v>211</v>
      </c>
      <c r="M103" s="6" t="n">
        <v>28</v>
      </c>
      <c r="N103" s="7" t="s">
        <v>24</v>
      </c>
    </row>
    <row r="104" customFormat="false" ht="29.85" hidden="false" customHeight="false" outlineLevel="0" collapsed="false">
      <c r="A104" s="3" t="n">
        <v>103</v>
      </c>
      <c r="B104" s="4" t="s">
        <v>14</v>
      </c>
      <c r="C104" s="4" t="s">
        <v>207</v>
      </c>
      <c r="D104" s="5" t="s">
        <v>266</v>
      </c>
      <c r="E104" s="4" t="s">
        <v>267</v>
      </c>
      <c r="F104" s="3" t="s">
        <v>18</v>
      </c>
      <c r="G104" s="4" t="s">
        <v>19</v>
      </c>
      <c r="H104" s="4" t="s">
        <v>20</v>
      </c>
      <c r="I104" s="4" t="s">
        <v>85</v>
      </c>
      <c r="J104" s="6" t="s">
        <v>22</v>
      </c>
      <c r="K104" s="6" t="n">
        <v>6</v>
      </c>
      <c r="L104" s="7" t="s">
        <v>211</v>
      </c>
      <c r="M104" s="6" t="n">
        <v>29</v>
      </c>
      <c r="N104" s="7" t="s">
        <v>24</v>
      </c>
    </row>
    <row r="105" customFormat="false" ht="15" hidden="false" customHeight="false" outlineLevel="0" collapsed="false">
      <c r="A105" s="6" t="n">
        <v>104</v>
      </c>
      <c r="B105" s="7" t="s">
        <v>14</v>
      </c>
      <c r="C105" s="7" t="s">
        <v>207</v>
      </c>
      <c r="D105" s="8" t="s">
        <v>268</v>
      </c>
      <c r="E105" s="7" t="s">
        <v>269</v>
      </c>
      <c r="F105" s="6" t="s">
        <v>82</v>
      </c>
      <c r="G105" s="7" t="s">
        <v>27</v>
      </c>
      <c r="H105" s="7" t="s">
        <v>38</v>
      </c>
      <c r="I105" s="7" t="s">
        <v>120</v>
      </c>
      <c r="J105" s="6" t="s">
        <v>22</v>
      </c>
      <c r="K105" s="6" t="n">
        <v>6</v>
      </c>
      <c r="L105" s="7" t="s">
        <v>211</v>
      </c>
      <c r="M105" s="6" t="n">
        <v>30</v>
      </c>
      <c r="N105" s="7" t="s">
        <v>40</v>
      </c>
    </row>
    <row r="106" customFormat="false" ht="29.85" hidden="false" customHeight="false" outlineLevel="0" collapsed="false">
      <c r="A106" s="6" t="n">
        <v>105</v>
      </c>
      <c r="B106" s="7" t="s">
        <v>14</v>
      </c>
      <c r="C106" s="7" t="s">
        <v>207</v>
      </c>
      <c r="D106" s="8" t="s">
        <v>270</v>
      </c>
      <c r="E106" s="7" t="s">
        <v>271</v>
      </c>
      <c r="F106" s="6" t="s">
        <v>31</v>
      </c>
      <c r="G106" s="7" t="s">
        <v>27</v>
      </c>
      <c r="H106" s="7" t="s">
        <v>20</v>
      </c>
      <c r="I106" s="7" t="s">
        <v>88</v>
      </c>
      <c r="J106" s="6" t="s">
        <v>22</v>
      </c>
      <c r="K106" s="6" t="n">
        <v>6</v>
      </c>
      <c r="L106" s="7" t="s">
        <v>211</v>
      </c>
      <c r="M106" s="6" t="n">
        <v>31</v>
      </c>
      <c r="N106" s="7" t="s">
        <v>24</v>
      </c>
    </row>
    <row r="107" customFormat="false" ht="29.85" hidden="false" customHeight="false" outlineLevel="0" collapsed="false">
      <c r="A107" s="6" t="n">
        <v>106</v>
      </c>
      <c r="B107" s="7" t="s">
        <v>14</v>
      </c>
      <c r="C107" s="7" t="s">
        <v>207</v>
      </c>
      <c r="D107" s="8" t="s">
        <v>272</v>
      </c>
      <c r="E107" s="7" t="s">
        <v>273</v>
      </c>
      <c r="F107" s="6" t="s">
        <v>18</v>
      </c>
      <c r="G107" s="7" t="s">
        <v>43</v>
      </c>
      <c r="H107" s="7" t="s">
        <v>20</v>
      </c>
      <c r="I107" s="7" t="s">
        <v>91</v>
      </c>
      <c r="J107" s="6" t="s">
        <v>22</v>
      </c>
      <c r="K107" s="6" t="n">
        <v>6</v>
      </c>
      <c r="L107" s="7" t="s">
        <v>211</v>
      </c>
      <c r="M107" s="6" t="n">
        <v>32</v>
      </c>
      <c r="N107" s="7" t="s">
        <v>24</v>
      </c>
    </row>
    <row r="108" customFormat="false" ht="29.85" hidden="false" customHeight="false" outlineLevel="0" collapsed="false">
      <c r="A108" s="6" t="n">
        <v>107</v>
      </c>
      <c r="B108" s="7" t="s">
        <v>14</v>
      </c>
      <c r="C108" s="7" t="s">
        <v>207</v>
      </c>
      <c r="D108" s="9" t="s">
        <v>274</v>
      </c>
      <c r="E108" s="7" t="s">
        <v>275</v>
      </c>
      <c r="F108" s="6" t="s">
        <v>214</v>
      </c>
      <c r="G108" s="7" t="s">
        <v>43</v>
      </c>
      <c r="H108" s="7" t="s">
        <v>20</v>
      </c>
      <c r="I108" s="7" t="s">
        <v>91</v>
      </c>
      <c r="J108" s="6" t="s">
        <v>22</v>
      </c>
      <c r="K108" s="6" t="n">
        <v>6</v>
      </c>
      <c r="L108" s="7" t="s">
        <v>211</v>
      </c>
      <c r="M108" s="6" t="n">
        <v>33</v>
      </c>
      <c r="N108" s="7" t="s">
        <v>24</v>
      </c>
    </row>
    <row r="109" customFormat="false" ht="29.85" hidden="false" customHeight="false" outlineLevel="0" collapsed="false">
      <c r="A109" s="6" t="n">
        <v>108</v>
      </c>
      <c r="B109" s="7" t="s">
        <v>14</v>
      </c>
      <c r="C109" s="7" t="s">
        <v>207</v>
      </c>
      <c r="D109" s="8" t="s">
        <v>276</v>
      </c>
      <c r="E109" s="7" t="s">
        <v>277</v>
      </c>
      <c r="F109" s="6" t="s">
        <v>214</v>
      </c>
      <c r="G109" s="7" t="s">
        <v>43</v>
      </c>
      <c r="H109" s="7" t="s">
        <v>20</v>
      </c>
      <c r="I109" s="7" t="s">
        <v>98</v>
      </c>
      <c r="J109" s="6" t="s">
        <v>22</v>
      </c>
      <c r="K109" s="6" t="n">
        <v>6</v>
      </c>
      <c r="L109" s="7" t="s">
        <v>211</v>
      </c>
      <c r="M109" s="6" t="n">
        <v>34</v>
      </c>
      <c r="N109" s="7" t="s">
        <v>24</v>
      </c>
    </row>
    <row r="110" customFormat="false" ht="29.85" hidden="false" customHeight="false" outlineLevel="0" collapsed="false">
      <c r="A110" s="6" t="n">
        <v>109</v>
      </c>
      <c r="B110" s="7" t="s">
        <v>14</v>
      </c>
      <c r="C110" s="7" t="s">
        <v>207</v>
      </c>
      <c r="D110" s="8" t="s">
        <v>278</v>
      </c>
      <c r="E110" s="7" t="s">
        <v>279</v>
      </c>
      <c r="F110" s="6" t="s">
        <v>82</v>
      </c>
      <c r="G110" s="7" t="s">
        <v>27</v>
      </c>
      <c r="H110" s="7" t="s">
        <v>38</v>
      </c>
      <c r="I110" s="7" t="s">
        <v>280</v>
      </c>
      <c r="J110" s="6" t="s">
        <v>22</v>
      </c>
      <c r="K110" s="6" t="n">
        <v>6</v>
      </c>
      <c r="L110" s="7" t="s">
        <v>211</v>
      </c>
      <c r="M110" s="6" t="n">
        <v>35</v>
      </c>
      <c r="N110" s="7" t="s">
        <v>40</v>
      </c>
    </row>
    <row r="111" customFormat="false" ht="29.85" hidden="false" customHeight="false" outlineLevel="0" collapsed="false">
      <c r="A111" s="6" t="n">
        <v>110</v>
      </c>
      <c r="B111" s="7" t="s">
        <v>14</v>
      </c>
      <c r="C111" s="7" t="s">
        <v>207</v>
      </c>
      <c r="D111" s="8" t="s">
        <v>281</v>
      </c>
      <c r="E111" s="7" t="s">
        <v>282</v>
      </c>
      <c r="F111" s="6" t="s">
        <v>18</v>
      </c>
      <c r="G111" s="7" t="s">
        <v>43</v>
      </c>
      <c r="H111" s="7" t="s">
        <v>20</v>
      </c>
      <c r="I111" s="7" t="s">
        <v>105</v>
      </c>
      <c r="J111" s="6" t="s">
        <v>22</v>
      </c>
      <c r="K111" s="6" t="n">
        <v>6</v>
      </c>
      <c r="L111" s="7" t="s">
        <v>211</v>
      </c>
      <c r="M111" s="6" t="n">
        <v>36</v>
      </c>
      <c r="N111" s="7" t="s">
        <v>24</v>
      </c>
    </row>
    <row r="112" customFormat="false" ht="29.85" hidden="false" customHeight="false" outlineLevel="0" collapsed="false">
      <c r="A112" s="6" t="n">
        <v>111</v>
      </c>
      <c r="B112" s="7" t="s">
        <v>14</v>
      </c>
      <c r="C112" s="7" t="s">
        <v>207</v>
      </c>
      <c r="D112" s="8" t="s">
        <v>283</v>
      </c>
      <c r="E112" s="7" t="s">
        <v>284</v>
      </c>
      <c r="F112" s="6" t="s">
        <v>31</v>
      </c>
      <c r="G112" s="7" t="s">
        <v>27</v>
      </c>
      <c r="H112" s="7" t="s">
        <v>20</v>
      </c>
      <c r="I112" s="7" t="s">
        <v>105</v>
      </c>
      <c r="J112" s="6" t="s">
        <v>22</v>
      </c>
      <c r="K112" s="6" t="n">
        <v>6</v>
      </c>
      <c r="L112" s="7" t="s">
        <v>211</v>
      </c>
      <c r="M112" s="6" t="n">
        <v>37</v>
      </c>
      <c r="N112" s="7" t="s">
        <v>24</v>
      </c>
    </row>
    <row r="113" customFormat="false" ht="29.85" hidden="false" customHeight="false" outlineLevel="0" collapsed="false">
      <c r="A113" s="3" t="n">
        <v>112</v>
      </c>
      <c r="B113" s="4" t="s">
        <v>14</v>
      </c>
      <c r="C113" s="4" t="s">
        <v>207</v>
      </c>
      <c r="D113" s="5" t="s">
        <v>285</v>
      </c>
      <c r="E113" s="4" t="s">
        <v>286</v>
      </c>
      <c r="F113" s="3" t="s">
        <v>18</v>
      </c>
      <c r="G113" s="4" t="s">
        <v>19</v>
      </c>
      <c r="H113" s="4" t="s">
        <v>20</v>
      </c>
      <c r="I113" s="4" t="s">
        <v>114</v>
      </c>
      <c r="J113" s="6" t="s">
        <v>22</v>
      </c>
      <c r="K113" s="6" t="n">
        <v>6</v>
      </c>
      <c r="L113" s="7" t="s">
        <v>211</v>
      </c>
      <c r="M113" s="6" t="n">
        <v>38</v>
      </c>
      <c r="N113" s="7" t="s">
        <v>24</v>
      </c>
    </row>
    <row r="114" customFormat="false" ht="29.85" hidden="false" customHeight="false" outlineLevel="0" collapsed="false">
      <c r="A114" s="6" t="n">
        <v>113</v>
      </c>
      <c r="B114" s="7" t="s">
        <v>14</v>
      </c>
      <c r="C114" s="7" t="s">
        <v>207</v>
      </c>
      <c r="D114" s="8" t="s">
        <v>287</v>
      </c>
      <c r="E114" s="7" t="s">
        <v>288</v>
      </c>
      <c r="F114" s="6" t="s">
        <v>18</v>
      </c>
      <c r="G114" s="7" t="s">
        <v>43</v>
      </c>
      <c r="H114" s="7" t="s">
        <v>20</v>
      </c>
      <c r="I114" s="7" t="s">
        <v>289</v>
      </c>
      <c r="J114" s="6" t="s">
        <v>22</v>
      </c>
      <c r="K114" s="6" t="n">
        <v>6</v>
      </c>
      <c r="L114" s="7" t="s">
        <v>211</v>
      </c>
      <c r="M114" s="6" t="n">
        <v>39</v>
      </c>
      <c r="N114" s="7" t="s">
        <v>24</v>
      </c>
    </row>
    <row r="115" customFormat="false" ht="29.85" hidden="false" customHeight="false" outlineLevel="0" collapsed="false">
      <c r="A115" s="6" t="n">
        <v>114</v>
      </c>
      <c r="B115" s="7" t="s">
        <v>14</v>
      </c>
      <c r="C115" s="7" t="s">
        <v>207</v>
      </c>
      <c r="D115" s="9" t="s">
        <v>290</v>
      </c>
      <c r="E115" s="7" t="s">
        <v>291</v>
      </c>
      <c r="F115" s="6" t="s">
        <v>214</v>
      </c>
      <c r="G115" s="7" t="s">
        <v>43</v>
      </c>
      <c r="H115" s="7" t="s">
        <v>38</v>
      </c>
      <c r="I115" s="7" t="s">
        <v>292</v>
      </c>
      <c r="J115" s="6" t="s">
        <v>22</v>
      </c>
      <c r="K115" s="6" t="n">
        <v>6</v>
      </c>
      <c r="L115" s="7" t="s">
        <v>211</v>
      </c>
      <c r="M115" s="6" t="n">
        <v>40</v>
      </c>
      <c r="N115" s="7" t="s">
        <v>40</v>
      </c>
    </row>
    <row r="116" customFormat="false" ht="29.85" hidden="false" customHeight="false" outlineLevel="0" collapsed="false">
      <c r="A116" s="6" t="n">
        <v>115</v>
      </c>
      <c r="B116" s="7" t="s">
        <v>14</v>
      </c>
      <c r="C116" s="7" t="s">
        <v>207</v>
      </c>
      <c r="D116" s="8" t="s">
        <v>293</v>
      </c>
      <c r="E116" s="7" t="s">
        <v>294</v>
      </c>
      <c r="F116" s="6" t="s">
        <v>31</v>
      </c>
      <c r="G116" s="7" t="s">
        <v>27</v>
      </c>
      <c r="H116" s="7" t="s">
        <v>20</v>
      </c>
      <c r="I116" s="7" t="s">
        <v>295</v>
      </c>
      <c r="J116" s="6" t="s">
        <v>22</v>
      </c>
      <c r="K116" s="6" t="n">
        <v>6</v>
      </c>
      <c r="L116" s="7" t="s">
        <v>211</v>
      </c>
      <c r="M116" s="6" t="n">
        <v>41</v>
      </c>
      <c r="N116" s="7" t="s">
        <v>24</v>
      </c>
    </row>
    <row r="117" customFormat="false" ht="29.85" hidden="false" customHeight="false" outlineLevel="0" collapsed="false">
      <c r="A117" s="6" t="n">
        <v>116</v>
      </c>
      <c r="B117" s="7" t="s">
        <v>14</v>
      </c>
      <c r="C117" s="7" t="s">
        <v>207</v>
      </c>
      <c r="D117" s="9" t="s">
        <v>296</v>
      </c>
      <c r="E117" s="7" t="s">
        <v>237</v>
      </c>
      <c r="F117" s="6" t="s">
        <v>214</v>
      </c>
      <c r="G117" s="7" t="s">
        <v>43</v>
      </c>
      <c r="H117" s="7" t="s">
        <v>20</v>
      </c>
      <c r="I117" s="7" t="s">
        <v>295</v>
      </c>
      <c r="J117" s="6" t="s">
        <v>22</v>
      </c>
      <c r="K117" s="6" t="n">
        <v>6</v>
      </c>
      <c r="L117" s="7" t="s">
        <v>211</v>
      </c>
      <c r="M117" s="6" t="n">
        <v>42</v>
      </c>
      <c r="N117" s="7" t="s">
        <v>24</v>
      </c>
    </row>
    <row r="118" customFormat="false" ht="29.85" hidden="false" customHeight="false" outlineLevel="0" collapsed="false">
      <c r="A118" s="6" t="n">
        <v>117</v>
      </c>
      <c r="B118" s="7" t="s">
        <v>14</v>
      </c>
      <c r="C118" s="7" t="s">
        <v>207</v>
      </c>
      <c r="D118" s="8" t="s">
        <v>297</v>
      </c>
      <c r="E118" s="7" t="s">
        <v>253</v>
      </c>
      <c r="F118" s="6" t="s">
        <v>18</v>
      </c>
      <c r="G118" s="7" t="s">
        <v>43</v>
      </c>
      <c r="H118" s="7" t="s">
        <v>20</v>
      </c>
      <c r="I118" s="7" t="s">
        <v>203</v>
      </c>
      <c r="J118" s="6" t="s">
        <v>22</v>
      </c>
      <c r="K118" s="6" t="n">
        <v>6</v>
      </c>
      <c r="L118" s="7" t="s">
        <v>211</v>
      </c>
      <c r="M118" s="6" t="n">
        <v>43</v>
      </c>
      <c r="N118" s="7" t="s">
        <v>24</v>
      </c>
    </row>
    <row r="119" customFormat="false" ht="29.85" hidden="false" customHeight="false" outlineLevel="0" collapsed="false">
      <c r="A119" s="6" t="n">
        <v>118</v>
      </c>
      <c r="B119" s="7" t="s">
        <v>14</v>
      </c>
      <c r="C119" s="7" t="s">
        <v>207</v>
      </c>
      <c r="D119" s="8" t="s">
        <v>298</v>
      </c>
      <c r="E119" s="7" t="s">
        <v>299</v>
      </c>
      <c r="F119" s="6" t="s">
        <v>82</v>
      </c>
      <c r="G119" s="7" t="s">
        <v>27</v>
      </c>
      <c r="H119" s="7" t="s">
        <v>38</v>
      </c>
      <c r="I119" s="7" t="s">
        <v>300</v>
      </c>
      <c r="J119" s="6" t="s">
        <v>22</v>
      </c>
      <c r="K119" s="6" t="n">
        <v>6</v>
      </c>
      <c r="L119" s="7" t="s">
        <v>211</v>
      </c>
      <c r="M119" s="6" t="n">
        <v>44</v>
      </c>
      <c r="N119" s="7" t="s">
        <v>40</v>
      </c>
    </row>
    <row r="120" customFormat="false" ht="29.85" hidden="false" customHeight="false" outlineLevel="0" collapsed="false">
      <c r="A120" s="6" t="n">
        <v>119</v>
      </c>
      <c r="B120" s="7" t="s">
        <v>14</v>
      </c>
      <c r="C120" s="7" t="s">
        <v>207</v>
      </c>
      <c r="D120" s="8" t="s">
        <v>301</v>
      </c>
      <c r="E120" s="7" t="s">
        <v>302</v>
      </c>
      <c r="F120" s="6" t="s">
        <v>31</v>
      </c>
      <c r="G120" s="7" t="s">
        <v>43</v>
      </c>
      <c r="H120" s="7" t="s">
        <v>38</v>
      </c>
      <c r="I120" s="7" t="s">
        <v>303</v>
      </c>
      <c r="J120" s="6" t="s">
        <v>22</v>
      </c>
      <c r="K120" s="6" t="n">
        <v>6</v>
      </c>
      <c r="L120" s="7" t="s">
        <v>211</v>
      </c>
      <c r="M120" s="6" t="n">
        <v>45</v>
      </c>
      <c r="N120" s="7" t="s">
        <v>40</v>
      </c>
    </row>
    <row r="121" customFormat="false" ht="29.85" hidden="false" customHeight="false" outlineLevel="0" collapsed="false">
      <c r="A121" s="6" t="n">
        <v>120</v>
      </c>
      <c r="B121" s="7" t="s">
        <v>14</v>
      </c>
      <c r="C121" s="7" t="s">
        <v>207</v>
      </c>
      <c r="D121" s="8" t="s">
        <v>304</v>
      </c>
      <c r="E121" s="7" t="s">
        <v>302</v>
      </c>
      <c r="F121" s="6" t="s">
        <v>31</v>
      </c>
      <c r="G121" s="7" t="s">
        <v>43</v>
      </c>
      <c r="H121" s="7" t="s">
        <v>38</v>
      </c>
      <c r="I121" s="7" t="s">
        <v>303</v>
      </c>
      <c r="J121" s="6" t="s">
        <v>22</v>
      </c>
      <c r="K121" s="6" t="n">
        <v>6</v>
      </c>
      <c r="L121" s="7" t="s">
        <v>211</v>
      </c>
      <c r="M121" s="6" t="n">
        <v>46</v>
      </c>
      <c r="N121" s="7" t="s">
        <v>40</v>
      </c>
    </row>
    <row r="122" customFormat="false" ht="29.85" hidden="false" customHeight="false" outlineLevel="0" collapsed="false">
      <c r="A122" s="6" t="n">
        <v>121</v>
      </c>
      <c r="B122" s="7" t="s">
        <v>14</v>
      </c>
      <c r="C122" s="7" t="s">
        <v>207</v>
      </c>
      <c r="D122" s="9" t="s">
        <v>305</v>
      </c>
      <c r="E122" s="7" t="s">
        <v>306</v>
      </c>
      <c r="F122" s="6" t="s">
        <v>214</v>
      </c>
      <c r="G122" s="7" t="s">
        <v>43</v>
      </c>
      <c r="H122" s="7" t="s">
        <v>38</v>
      </c>
      <c r="I122" s="7" t="s">
        <v>303</v>
      </c>
      <c r="J122" s="6" t="s">
        <v>22</v>
      </c>
      <c r="K122" s="6" t="n">
        <v>6</v>
      </c>
      <c r="L122" s="7" t="s">
        <v>211</v>
      </c>
      <c r="M122" s="6" t="n">
        <v>47</v>
      </c>
      <c r="N122" s="7" t="s">
        <v>40</v>
      </c>
    </row>
    <row r="123" customFormat="false" ht="29.85" hidden="false" customHeight="false" outlineLevel="0" collapsed="false">
      <c r="A123" s="6" t="n">
        <v>122</v>
      </c>
      <c r="B123" s="7" t="s">
        <v>14</v>
      </c>
      <c r="C123" s="7" t="s">
        <v>207</v>
      </c>
      <c r="D123" s="8" t="s">
        <v>307</v>
      </c>
      <c r="E123" s="7" t="s">
        <v>308</v>
      </c>
      <c r="F123" s="6" t="s">
        <v>26</v>
      </c>
      <c r="G123" s="7" t="s">
        <v>27</v>
      </c>
      <c r="H123" s="7" t="s">
        <v>38</v>
      </c>
      <c r="I123" s="7" t="s">
        <v>309</v>
      </c>
      <c r="J123" s="6" t="s">
        <v>22</v>
      </c>
      <c r="K123" s="6" t="n">
        <v>6</v>
      </c>
      <c r="L123" s="7" t="s">
        <v>211</v>
      </c>
      <c r="M123" s="6" t="n">
        <v>48</v>
      </c>
      <c r="N123" s="7" t="s">
        <v>40</v>
      </c>
    </row>
    <row r="124" customFormat="false" ht="29.85" hidden="false" customHeight="false" outlineLevel="0" collapsed="false">
      <c r="A124" s="6" t="n">
        <v>123</v>
      </c>
      <c r="B124" s="7" t="s">
        <v>14</v>
      </c>
      <c r="C124" s="7" t="s">
        <v>207</v>
      </c>
      <c r="D124" s="9" t="s">
        <v>310</v>
      </c>
      <c r="E124" s="7" t="s">
        <v>235</v>
      </c>
      <c r="F124" s="6" t="s">
        <v>18</v>
      </c>
      <c r="G124" s="7" t="s">
        <v>43</v>
      </c>
      <c r="H124" s="7" t="s">
        <v>38</v>
      </c>
      <c r="I124" s="7" t="s">
        <v>309</v>
      </c>
      <c r="J124" s="6" t="s">
        <v>22</v>
      </c>
      <c r="K124" s="6" t="n">
        <v>6</v>
      </c>
      <c r="L124" s="7" t="s">
        <v>211</v>
      </c>
      <c r="M124" s="6" t="n">
        <v>49</v>
      </c>
      <c r="N124" s="7" t="s">
        <v>40</v>
      </c>
    </row>
    <row r="125" customFormat="false" ht="29.85" hidden="false" customHeight="false" outlineLevel="0" collapsed="false">
      <c r="A125" s="6" t="n">
        <v>124</v>
      </c>
      <c r="B125" s="7" t="s">
        <v>14</v>
      </c>
      <c r="C125" s="7" t="s">
        <v>207</v>
      </c>
      <c r="D125" s="8" t="s">
        <v>311</v>
      </c>
      <c r="E125" s="7" t="s">
        <v>271</v>
      </c>
      <c r="F125" s="6" t="s">
        <v>31</v>
      </c>
      <c r="G125" s="7" t="s">
        <v>27</v>
      </c>
      <c r="H125" s="7" t="s">
        <v>38</v>
      </c>
      <c r="I125" s="7" t="s">
        <v>312</v>
      </c>
      <c r="J125" s="6" t="s">
        <v>22</v>
      </c>
      <c r="K125" s="6" t="n">
        <v>6</v>
      </c>
      <c r="L125" s="7" t="s">
        <v>211</v>
      </c>
      <c r="M125" s="6" t="n">
        <v>50</v>
      </c>
      <c r="N125" s="7" t="s">
        <v>40</v>
      </c>
    </row>
    <row r="126" customFormat="false" ht="29.85" hidden="false" customHeight="false" outlineLevel="0" collapsed="false">
      <c r="A126" s="6" t="n">
        <v>125</v>
      </c>
      <c r="B126" s="7" t="s">
        <v>14</v>
      </c>
      <c r="C126" s="7" t="s">
        <v>207</v>
      </c>
      <c r="D126" s="9" t="s">
        <v>313</v>
      </c>
      <c r="E126" s="7" t="s">
        <v>314</v>
      </c>
      <c r="F126" s="6" t="s">
        <v>214</v>
      </c>
      <c r="G126" s="7" t="s">
        <v>43</v>
      </c>
      <c r="H126" s="7" t="s">
        <v>38</v>
      </c>
      <c r="I126" s="7" t="s">
        <v>315</v>
      </c>
      <c r="J126" s="6" t="s">
        <v>22</v>
      </c>
      <c r="K126" s="6" t="n">
        <v>6</v>
      </c>
      <c r="L126" s="7" t="s">
        <v>211</v>
      </c>
      <c r="M126" s="6" t="n">
        <v>51</v>
      </c>
      <c r="N126" s="7" t="s">
        <v>40</v>
      </c>
    </row>
    <row r="127" customFormat="false" ht="29.85" hidden="false" customHeight="false" outlineLevel="0" collapsed="false">
      <c r="A127" s="6" t="n">
        <v>126</v>
      </c>
      <c r="B127" s="7" t="s">
        <v>14</v>
      </c>
      <c r="C127" s="7" t="s">
        <v>207</v>
      </c>
      <c r="D127" s="8" t="s">
        <v>316</v>
      </c>
      <c r="E127" s="7" t="s">
        <v>317</v>
      </c>
      <c r="F127" s="6" t="s">
        <v>18</v>
      </c>
      <c r="G127" s="7" t="s">
        <v>43</v>
      </c>
      <c r="H127" s="7" t="s">
        <v>38</v>
      </c>
      <c r="I127" s="7" t="s">
        <v>318</v>
      </c>
      <c r="J127" s="6" t="s">
        <v>22</v>
      </c>
      <c r="K127" s="6" t="n">
        <v>6</v>
      </c>
      <c r="L127" s="7" t="s">
        <v>211</v>
      </c>
      <c r="M127" s="6" t="n">
        <v>52</v>
      </c>
      <c r="N127" s="7" t="s">
        <v>40</v>
      </c>
    </row>
    <row r="128" customFormat="false" ht="29.85" hidden="false" customHeight="false" outlineLevel="0" collapsed="false">
      <c r="A128" s="6" t="n">
        <v>127</v>
      </c>
      <c r="B128" s="7" t="s">
        <v>14</v>
      </c>
      <c r="C128" s="7" t="s">
        <v>207</v>
      </c>
      <c r="D128" s="8" t="s">
        <v>319</v>
      </c>
      <c r="E128" s="7" t="s">
        <v>302</v>
      </c>
      <c r="F128" s="6" t="s">
        <v>31</v>
      </c>
      <c r="G128" s="7" t="s">
        <v>43</v>
      </c>
      <c r="H128" s="7" t="s">
        <v>38</v>
      </c>
      <c r="I128" s="7" t="s">
        <v>320</v>
      </c>
      <c r="J128" s="6" t="s">
        <v>22</v>
      </c>
      <c r="K128" s="6" t="n">
        <v>6</v>
      </c>
      <c r="L128" s="7" t="s">
        <v>211</v>
      </c>
      <c r="M128" s="6" t="n">
        <v>53</v>
      </c>
      <c r="N128" s="7" t="s">
        <v>40</v>
      </c>
    </row>
    <row r="129" customFormat="false" ht="44" hidden="false" customHeight="false" outlineLevel="0" collapsed="false">
      <c r="A129" s="6" t="n">
        <v>128</v>
      </c>
      <c r="B129" s="7" t="s">
        <v>14</v>
      </c>
      <c r="C129" s="7" t="s">
        <v>207</v>
      </c>
      <c r="D129" s="9" t="s">
        <v>321</v>
      </c>
      <c r="E129" s="7" t="s">
        <v>306</v>
      </c>
      <c r="F129" s="6" t="s">
        <v>214</v>
      </c>
      <c r="G129" s="7" t="s">
        <v>43</v>
      </c>
      <c r="H129" s="7" t="s">
        <v>38</v>
      </c>
      <c r="I129" s="7" t="s">
        <v>322</v>
      </c>
      <c r="J129" s="6" t="s">
        <v>22</v>
      </c>
      <c r="K129" s="6" t="n">
        <v>6</v>
      </c>
      <c r="L129" s="7" t="s">
        <v>211</v>
      </c>
      <c r="M129" s="6" t="n">
        <v>54</v>
      </c>
      <c r="N129" s="7" t="s">
        <v>40</v>
      </c>
    </row>
    <row r="130" customFormat="false" ht="44" hidden="false" customHeight="false" outlineLevel="0" collapsed="false">
      <c r="A130" s="6" t="n">
        <v>129</v>
      </c>
      <c r="B130" s="7" t="s">
        <v>14</v>
      </c>
      <c r="C130" s="7" t="s">
        <v>207</v>
      </c>
      <c r="D130" s="8" t="s">
        <v>323</v>
      </c>
      <c r="E130" s="7" t="s">
        <v>282</v>
      </c>
      <c r="F130" s="6" t="s">
        <v>18</v>
      </c>
      <c r="G130" s="7" t="s">
        <v>43</v>
      </c>
      <c r="H130" s="7" t="s">
        <v>38</v>
      </c>
      <c r="I130" s="7" t="s">
        <v>57</v>
      </c>
      <c r="J130" s="6" t="s">
        <v>22</v>
      </c>
      <c r="K130" s="6" t="n">
        <v>6</v>
      </c>
      <c r="L130" s="7" t="s">
        <v>211</v>
      </c>
      <c r="M130" s="6" t="n">
        <v>55</v>
      </c>
      <c r="N130" s="7" t="s">
        <v>40</v>
      </c>
    </row>
    <row r="131" customFormat="false" ht="15" hidden="false" customHeight="false" outlineLevel="0" collapsed="false">
      <c r="A131" s="6" t="n">
        <v>130</v>
      </c>
      <c r="B131" s="7" t="s">
        <v>14</v>
      </c>
      <c r="C131" s="7" t="s">
        <v>324</v>
      </c>
      <c r="D131" s="8" t="s">
        <v>325</v>
      </c>
      <c r="E131" s="7" t="s">
        <v>326</v>
      </c>
      <c r="F131" s="6" t="s">
        <v>31</v>
      </c>
      <c r="G131" s="7" t="s">
        <v>43</v>
      </c>
      <c r="H131" s="7" t="s">
        <v>20</v>
      </c>
      <c r="I131" s="7" t="s">
        <v>327</v>
      </c>
      <c r="J131" s="6" t="s">
        <v>22</v>
      </c>
      <c r="K131" s="6" t="n">
        <v>7</v>
      </c>
      <c r="L131" s="7" t="s">
        <v>328</v>
      </c>
      <c r="M131" s="6" t="n">
        <v>1</v>
      </c>
      <c r="N131" s="7" t="s">
        <v>24</v>
      </c>
    </row>
    <row r="132" customFormat="false" ht="29.85" hidden="false" customHeight="false" outlineLevel="0" collapsed="false">
      <c r="A132" s="6" t="n">
        <v>131</v>
      </c>
      <c r="B132" s="7" t="s">
        <v>14</v>
      </c>
      <c r="C132" s="7" t="s">
        <v>324</v>
      </c>
      <c r="D132" s="8" t="s">
        <v>329</v>
      </c>
      <c r="E132" s="7" t="s">
        <v>330</v>
      </c>
      <c r="F132" s="6" t="s">
        <v>31</v>
      </c>
      <c r="G132" s="7" t="s">
        <v>27</v>
      </c>
      <c r="H132" s="7" t="s">
        <v>20</v>
      </c>
      <c r="I132" s="7" t="s">
        <v>243</v>
      </c>
      <c r="J132" s="6" t="s">
        <v>22</v>
      </c>
      <c r="K132" s="6" t="n">
        <v>7</v>
      </c>
      <c r="L132" s="7" t="s">
        <v>328</v>
      </c>
      <c r="M132" s="6" t="n">
        <v>2</v>
      </c>
      <c r="N132" s="7" t="s">
        <v>24</v>
      </c>
    </row>
    <row r="133" customFormat="false" ht="29.85" hidden="false" customHeight="false" outlineLevel="0" collapsed="false">
      <c r="A133" s="6" t="n">
        <v>132</v>
      </c>
      <c r="B133" s="7" t="s">
        <v>14</v>
      </c>
      <c r="C133" s="7" t="s">
        <v>324</v>
      </c>
      <c r="D133" s="9" t="s">
        <v>331</v>
      </c>
      <c r="E133" s="7" t="s">
        <v>332</v>
      </c>
      <c r="F133" s="6" t="s">
        <v>214</v>
      </c>
      <c r="G133" s="7" t="s">
        <v>43</v>
      </c>
      <c r="H133" s="7" t="s">
        <v>20</v>
      </c>
      <c r="I133" s="7" t="s">
        <v>88</v>
      </c>
      <c r="J133" s="6" t="s">
        <v>22</v>
      </c>
      <c r="K133" s="6" t="n">
        <v>7</v>
      </c>
      <c r="L133" s="7" t="s">
        <v>328</v>
      </c>
      <c r="M133" s="6" t="n">
        <v>3</v>
      </c>
      <c r="N133" s="7" t="s">
        <v>24</v>
      </c>
    </row>
    <row r="134" customFormat="false" ht="29.85" hidden="false" customHeight="false" outlineLevel="0" collapsed="false">
      <c r="A134" s="6" t="n">
        <v>133</v>
      </c>
      <c r="B134" s="7" t="s">
        <v>14</v>
      </c>
      <c r="C134" s="7" t="s">
        <v>324</v>
      </c>
      <c r="D134" s="9" t="s">
        <v>333</v>
      </c>
      <c r="E134" s="7" t="s">
        <v>332</v>
      </c>
      <c r="F134" s="6" t="s">
        <v>214</v>
      </c>
      <c r="G134" s="7" t="s">
        <v>43</v>
      </c>
      <c r="H134" s="7" t="s">
        <v>20</v>
      </c>
      <c r="I134" s="7" t="s">
        <v>91</v>
      </c>
      <c r="J134" s="6" t="s">
        <v>22</v>
      </c>
      <c r="K134" s="6" t="n">
        <v>7</v>
      </c>
      <c r="L134" s="7" t="s">
        <v>328</v>
      </c>
      <c r="M134" s="6" t="n">
        <v>4</v>
      </c>
      <c r="N134" s="7" t="s">
        <v>24</v>
      </c>
    </row>
    <row r="135" customFormat="false" ht="15" hidden="false" customHeight="false" outlineLevel="0" collapsed="false">
      <c r="A135" s="6" t="n">
        <v>134</v>
      </c>
      <c r="B135" s="7" t="s">
        <v>14</v>
      </c>
      <c r="C135" s="7" t="s">
        <v>324</v>
      </c>
      <c r="D135" s="8" t="s">
        <v>334</v>
      </c>
      <c r="E135" s="7" t="s">
        <v>335</v>
      </c>
      <c r="F135" s="6" t="s">
        <v>37</v>
      </c>
      <c r="G135" s="7" t="s">
        <v>27</v>
      </c>
      <c r="H135" s="7" t="s">
        <v>38</v>
      </c>
      <c r="I135" s="7" t="s">
        <v>83</v>
      </c>
      <c r="J135" s="6" t="s">
        <v>22</v>
      </c>
      <c r="K135" s="6" t="n">
        <v>7</v>
      </c>
      <c r="L135" s="7" t="s">
        <v>328</v>
      </c>
      <c r="M135" s="6" t="n">
        <v>5</v>
      </c>
      <c r="N135" s="7" t="s">
        <v>40</v>
      </c>
    </row>
    <row r="136" customFormat="false" ht="29.85" hidden="false" customHeight="false" outlineLevel="0" collapsed="false">
      <c r="A136" s="6" t="n">
        <v>135</v>
      </c>
      <c r="B136" s="7" t="s">
        <v>14</v>
      </c>
      <c r="C136" s="7" t="s">
        <v>324</v>
      </c>
      <c r="D136" s="8" t="s">
        <v>336</v>
      </c>
      <c r="E136" s="7" t="s">
        <v>337</v>
      </c>
      <c r="F136" s="6" t="s">
        <v>31</v>
      </c>
      <c r="G136" s="7" t="s">
        <v>27</v>
      </c>
      <c r="H136" s="7" t="s">
        <v>20</v>
      </c>
      <c r="I136" s="7" t="s">
        <v>98</v>
      </c>
      <c r="J136" s="6" t="s">
        <v>22</v>
      </c>
      <c r="K136" s="6" t="n">
        <v>7</v>
      </c>
      <c r="L136" s="7" t="s">
        <v>328</v>
      </c>
      <c r="M136" s="6" t="n">
        <v>6</v>
      </c>
      <c r="N136" s="7" t="s">
        <v>24</v>
      </c>
    </row>
    <row r="137" customFormat="false" ht="29.85" hidden="false" customHeight="false" outlineLevel="0" collapsed="false">
      <c r="A137" s="6" t="n">
        <v>136</v>
      </c>
      <c r="B137" s="7" t="s">
        <v>14</v>
      </c>
      <c r="C137" s="7" t="s">
        <v>324</v>
      </c>
      <c r="D137" s="8" t="s">
        <v>338</v>
      </c>
      <c r="E137" s="7" t="s">
        <v>330</v>
      </c>
      <c r="F137" s="6" t="s">
        <v>31</v>
      </c>
      <c r="G137" s="7" t="s">
        <v>27</v>
      </c>
      <c r="H137" s="7" t="s">
        <v>20</v>
      </c>
      <c r="I137" s="7" t="s">
        <v>289</v>
      </c>
      <c r="J137" s="6" t="s">
        <v>22</v>
      </c>
      <c r="K137" s="6" t="n">
        <v>7</v>
      </c>
      <c r="L137" s="7" t="s">
        <v>328</v>
      </c>
      <c r="M137" s="6" t="n">
        <v>7</v>
      </c>
      <c r="N137" s="7" t="s">
        <v>24</v>
      </c>
    </row>
    <row r="138" customFormat="false" ht="29.85" hidden="false" customHeight="false" outlineLevel="0" collapsed="false">
      <c r="A138" s="6" t="n">
        <v>137</v>
      </c>
      <c r="B138" s="7" t="s">
        <v>14</v>
      </c>
      <c r="C138" s="7" t="s">
        <v>324</v>
      </c>
      <c r="D138" s="8" t="s">
        <v>339</v>
      </c>
      <c r="E138" s="7" t="s">
        <v>340</v>
      </c>
      <c r="F138" s="6" t="s">
        <v>31</v>
      </c>
      <c r="G138" s="7" t="s">
        <v>27</v>
      </c>
      <c r="H138" s="7" t="s">
        <v>20</v>
      </c>
      <c r="I138" s="7" t="s">
        <v>289</v>
      </c>
      <c r="J138" s="6" t="s">
        <v>22</v>
      </c>
      <c r="K138" s="6" t="n">
        <v>7</v>
      </c>
      <c r="L138" s="7" t="s">
        <v>328</v>
      </c>
      <c r="M138" s="6" t="n">
        <v>8</v>
      </c>
      <c r="N138" s="7" t="s">
        <v>24</v>
      </c>
    </row>
    <row r="139" customFormat="false" ht="29.85" hidden="false" customHeight="false" outlineLevel="0" collapsed="false">
      <c r="A139" s="6" t="n">
        <v>138</v>
      </c>
      <c r="B139" s="7" t="s">
        <v>14</v>
      </c>
      <c r="C139" s="7" t="s">
        <v>324</v>
      </c>
      <c r="D139" s="8" t="s">
        <v>341</v>
      </c>
      <c r="E139" s="7" t="s">
        <v>342</v>
      </c>
      <c r="F139" s="6" t="s">
        <v>31</v>
      </c>
      <c r="G139" s="7" t="s">
        <v>27</v>
      </c>
      <c r="H139" s="7" t="s">
        <v>20</v>
      </c>
      <c r="I139" s="7" t="s">
        <v>201</v>
      </c>
      <c r="J139" s="6" t="s">
        <v>22</v>
      </c>
      <c r="K139" s="6" t="n">
        <v>7</v>
      </c>
      <c r="L139" s="7" t="s">
        <v>328</v>
      </c>
      <c r="M139" s="6" t="n">
        <v>9</v>
      </c>
      <c r="N139" s="7" t="s">
        <v>24</v>
      </c>
    </row>
    <row r="140" customFormat="false" ht="15" hidden="false" customHeight="false" outlineLevel="0" collapsed="false">
      <c r="A140" s="6" t="n">
        <v>139</v>
      </c>
      <c r="B140" s="7" t="s">
        <v>14</v>
      </c>
      <c r="C140" s="7" t="s">
        <v>324</v>
      </c>
      <c r="D140" s="8" t="s">
        <v>343</v>
      </c>
      <c r="E140" s="9" t="s">
        <v>344</v>
      </c>
      <c r="F140" s="6" t="s">
        <v>37</v>
      </c>
      <c r="G140" s="7" t="s">
        <v>27</v>
      </c>
      <c r="H140" s="7" t="s">
        <v>38</v>
      </c>
      <c r="I140" s="7" t="s">
        <v>95</v>
      </c>
      <c r="J140" s="6" t="s">
        <v>22</v>
      </c>
      <c r="K140" s="6" t="n">
        <v>7</v>
      </c>
      <c r="L140" s="7" t="s">
        <v>328</v>
      </c>
      <c r="M140" s="6" t="n">
        <v>10</v>
      </c>
      <c r="N140" s="7" t="s">
        <v>40</v>
      </c>
    </row>
    <row r="141" customFormat="false" ht="15" hidden="false" customHeight="false" outlineLevel="0" collapsed="false">
      <c r="A141" s="6" t="n">
        <v>140</v>
      </c>
      <c r="B141" s="7" t="s">
        <v>14</v>
      </c>
      <c r="C141" s="7" t="s">
        <v>324</v>
      </c>
      <c r="D141" s="9" t="s">
        <v>345</v>
      </c>
      <c r="E141" s="6" t="s">
        <v>346</v>
      </c>
      <c r="F141" s="6" t="s">
        <v>37</v>
      </c>
      <c r="G141" s="7" t="s">
        <v>27</v>
      </c>
      <c r="H141" s="7" t="s">
        <v>38</v>
      </c>
      <c r="I141" s="7" t="s">
        <v>95</v>
      </c>
      <c r="J141" s="6" t="s">
        <v>22</v>
      </c>
      <c r="K141" s="6" t="n">
        <v>7</v>
      </c>
      <c r="L141" s="7" t="s">
        <v>328</v>
      </c>
      <c r="M141" s="6" t="n">
        <v>11</v>
      </c>
      <c r="N141" s="7" t="s">
        <v>40</v>
      </c>
    </row>
    <row r="142" customFormat="false" ht="15" hidden="false" customHeight="false" outlineLevel="0" collapsed="false">
      <c r="A142" s="6" t="n">
        <v>141</v>
      </c>
      <c r="B142" s="7" t="s">
        <v>14</v>
      </c>
      <c r="C142" s="7" t="s">
        <v>324</v>
      </c>
      <c r="D142" s="8" t="s">
        <v>347</v>
      </c>
      <c r="E142" s="6" t="s">
        <v>348</v>
      </c>
      <c r="F142" s="6" t="s">
        <v>37</v>
      </c>
      <c r="G142" s="7" t="s">
        <v>27</v>
      </c>
      <c r="H142" s="7" t="s">
        <v>38</v>
      </c>
      <c r="I142" s="7" t="s">
        <v>39</v>
      </c>
      <c r="J142" s="6" t="s">
        <v>22</v>
      </c>
      <c r="K142" s="6" t="n">
        <v>7</v>
      </c>
      <c r="L142" s="7" t="s">
        <v>328</v>
      </c>
      <c r="M142" s="6" t="n">
        <v>12</v>
      </c>
      <c r="N142" s="7" t="s">
        <v>40</v>
      </c>
    </row>
    <row r="143" customFormat="false" ht="15" hidden="false" customHeight="false" outlineLevel="0" collapsed="false">
      <c r="A143" s="6" t="n">
        <v>142</v>
      </c>
      <c r="B143" s="7" t="s">
        <v>14</v>
      </c>
      <c r="C143" s="7" t="s">
        <v>324</v>
      </c>
      <c r="D143" s="8" t="s">
        <v>349</v>
      </c>
      <c r="E143" s="7" t="s">
        <v>350</v>
      </c>
      <c r="F143" s="6" t="s">
        <v>37</v>
      </c>
      <c r="G143" s="7" t="s">
        <v>27</v>
      </c>
      <c r="H143" s="7" t="s">
        <v>38</v>
      </c>
      <c r="I143" s="7" t="s">
        <v>351</v>
      </c>
      <c r="J143" s="6" t="s">
        <v>22</v>
      </c>
      <c r="K143" s="6" t="n">
        <v>7</v>
      </c>
      <c r="L143" s="7" t="s">
        <v>328</v>
      </c>
      <c r="M143" s="6" t="n">
        <v>13</v>
      </c>
      <c r="N143" s="7" t="s">
        <v>40</v>
      </c>
    </row>
    <row r="144" customFormat="false" ht="15" hidden="false" customHeight="false" outlineLevel="0" collapsed="false">
      <c r="A144" s="6" t="n">
        <v>143</v>
      </c>
      <c r="B144" s="7" t="s">
        <v>14</v>
      </c>
      <c r="C144" s="7" t="s">
        <v>324</v>
      </c>
      <c r="D144" s="8" t="s">
        <v>352</v>
      </c>
      <c r="E144" s="7" t="s">
        <v>353</v>
      </c>
      <c r="F144" s="6" t="s">
        <v>37</v>
      </c>
      <c r="G144" s="7" t="s">
        <v>27</v>
      </c>
      <c r="H144" s="7" t="s">
        <v>38</v>
      </c>
      <c r="I144" s="7" t="s">
        <v>351</v>
      </c>
      <c r="J144" s="6" t="s">
        <v>22</v>
      </c>
      <c r="K144" s="6" t="n">
        <v>7</v>
      </c>
      <c r="L144" s="7" t="s">
        <v>328</v>
      </c>
      <c r="M144" s="6" t="n">
        <v>14</v>
      </c>
      <c r="N144" s="7" t="s">
        <v>40</v>
      </c>
    </row>
    <row r="145" customFormat="false" ht="15" hidden="false" customHeight="false" outlineLevel="0" collapsed="false">
      <c r="A145" s="6" t="n">
        <v>144</v>
      </c>
      <c r="B145" s="7" t="s">
        <v>14</v>
      </c>
      <c r="C145" s="7" t="s">
        <v>324</v>
      </c>
      <c r="D145" s="8" t="s">
        <v>354</v>
      </c>
      <c r="E145" s="7" t="s">
        <v>355</v>
      </c>
      <c r="F145" s="6" t="s">
        <v>37</v>
      </c>
      <c r="G145" s="7" t="s">
        <v>27</v>
      </c>
      <c r="H145" s="7" t="s">
        <v>38</v>
      </c>
      <c r="I145" s="7" t="s">
        <v>351</v>
      </c>
      <c r="J145" s="6" t="s">
        <v>22</v>
      </c>
      <c r="K145" s="6" t="n">
        <v>7</v>
      </c>
      <c r="L145" s="7" t="s">
        <v>328</v>
      </c>
      <c r="M145" s="6" t="n">
        <v>15</v>
      </c>
      <c r="N145" s="7" t="s">
        <v>40</v>
      </c>
    </row>
    <row r="146" customFormat="false" ht="15" hidden="false" customHeight="false" outlineLevel="0" collapsed="false">
      <c r="A146" s="6" t="n">
        <v>145</v>
      </c>
      <c r="B146" s="7" t="s">
        <v>14</v>
      </c>
      <c r="C146" s="7" t="s">
        <v>324</v>
      </c>
      <c r="D146" s="8" t="s">
        <v>356</v>
      </c>
      <c r="E146" s="7" t="s">
        <v>357</v>
      </c>
      <c r="F146" s="6" t="s">
        <v>37</v>
      </c>
      <c r="G146" s="7" t="s">
        <v>27</v>
      </c>
      <c r="H146" s="7" t="s">
        <v>38</v>
      </c>
      <c r="I146" s="7" t="s">
        <v>351</v>
      </c>
      <c r="J146" s="6" t="s">
        <v>22</v>
      </c>
      <c r="K146" s="6" t="n">
        <v>7</v>
      </c>
      <c r="L146" s="7" t="s">
        <v>328</v>
      </c>
      <c r="M146" s="6" t="n">
        <v>16</v>
      </c>
      <c r="N146" s="7" t="s">
        <v>40</v>
      </c>
    </row>
    <row r="147" customFormat="false" ht="15" hidden="false" customHeight="false" outlineLevel="0" collapsed="false">
      <c r="A147" s="6" t="n">
        <v>146</v>
      </c>
      <c r="B147" s="7" t="s">
        <v>14</v>
      </c>
      <c r="C147" s="7" t="s">
        <v>324</v>
      </c>
      <c r="D147" s="8" t="s">
        <v>358</v>
      </c>
      <c r="E147" s="6" t="s">
        <v>359</v>
      </c>
      <c r="F147" s="6" t="s">
        <v>37</v>
      </c>
      <c r="G147" s="7" t="s">
        <v>27</v>
      </c>
      <c r="H147" s="7" t="s">
        <v>38</v>
      </c>
      <c r="I147" s="7" t="s">
        <v>360</v>
      </c>
      <c r="J147" s="6" t="s">
        <v>22</v>
      </c>
      <c r="K147" s="6" t="n">
        <v>7</v>
      </c>
      <c r="L147" s="7" t="s">
        <v>328</v>
      </c>
      <c r="M147" s="6" t="n">
        <v>17</v>
      </c>
      <c r="N147" s="7" t="s">
        <v>40</v>
      </c>
    </row>
    <row r="148" customFormat="false" ht="15" hidden="false" customHeight="false" outlineLevel="0" collapsed="false">
      <c r="A148" s="6" t="n">
        <v>147</v>
      </c>
      <c r="B148" s="7" t="s">
        <v>14</v>
      </c>
      <c r="C148" s="7" t="s">
        <v>324</v>
      </c>
      <c r="D148" s="8" t="s">
        <v>361</v>
      </c>
      <c r="E148" s="7" t="s">
        <v>362</v>
      </c>
      <c r="F148" s="6" t="s">
        <v>37</v>
      </c>
      <c r="G148" s="7" t="s">
        <v>27</v>
      </c>
      <c r="H148" s="7" t="s">
        <v>38</v>
      </c>
      <c r="I148" s="7" t="s">
        <v>363</v>
      </c>
      <c r="J148" s="6" t="s">
        <v>22</v>
      </c>
      <c r="K148" s="6" t="n">
        <v>7</v>
      </c>
      <c r="L148" s="7" t="s">
        <v>328</v>
      </c>
      <c r="M148" s="6" t="n">
        <v>18</v>
      </c>
      <c r="N148" s="7" t="s">
        <v>40</v>
      </c>
    </row>
    <row r="149" customFormat="false" ht="15" hidden="false" customHeight="false" outlineLevel="0" collapsed="false">
      <c r="A149" s="6" t="n">
        <v>148</v>
      </c>
      <c r="B149" s="7" t="s">
        <v>14</v>
      </c>
      <c r="C149" s="7" t="s">
        <v>324</v>
      </c>
      <c r="D149" s="8" t="s">
        <v>364</v>
      </c>
      <c r="E149" s="7" t="s">
        <v>365</v>
      </c>
      <c r="F149" s="6" t="s">
        <v>37</v>
      </c>
      <c r="G149" s="7" t="s">
        <v>27</v>
      </c>
      <c r="H149" s="7" t="s">
        <v>38</v>
      </c>
      <c r="I149" s="7" t="s">
        <v>366</v>
      </c>
      <c r="J149" s="6" t="s">
        <v>22</v>
      </c>
      <c r="K149" s="6" t="n">
        <v>7</v>
      </c>
      <c r="L149" s="7" t="s">
        <v>328</v>
      </c>
      <c r="M149" s="6" t="n">
        <v>19</v>
      </c>
      <c r="N149" s="7" t="s">
        <v>40</v>
      </c>
    </row>
    <row r="150" customFormat="false" ht="26.85" hidden="false" customHeight="false" outlineLevel="0" collapsed="false">
      <c r="A150" s="6" t="n">
        <v>149</v>
      </c>
      <c r="B150" s="7" t="s">
        <v>14</v>
      </c>
      <c r="C150" s="7" t="s">
        <v>324</v>
      </c>
      <c r="D150" s="9" t="s">
        <v>367</v>
      </c>
      <c r="E150" s="7" t="s">
        <v>368</v>
      </c>
      <c r="F150" s="6" t="s">
        <v>214</v>
      </c>
      <c r="G150" s="7" t="s">
        <v>43</v>
      </c>
      <c r="H150" s="7" t="s">
        <v>38</v>
      </c>
      <c r="I150" s="7" t="s">
        <v>369</v>
      </c>
      <c r="J150" s="6" t="s">
        <v>22</v>
      </c>
      <c r="K150" s="6" t="n">
        <v>7</v>
      </c>
      <c r="L150" s="7" t="s">
        <v>328</v>
      </c>
      <c r="M150" s="6" t="n">
        <v>20</v>
      </c>
      <c r="N150" s="7" t="s">
        <v>40</v>
      </c>
    </row>
    <row r="151" customFormat="false" ht="29.85" hidden="false" customHeight="false" outlineLevel="0" collapsed="false">
      <c r="A151" s="6" t="n">
        <v>150</v>
      </c>
      <c r="B151" s="7" t="s">
        <v>14</v>
      </c>
      <c r="C151" s="7" t="s">
        <v>324</v>
      </c>
      <c r="D151" s="8" t="s">
        <v>370</v>
      </c>
      <c r="E151" s="7" t="s">
        <v>371</v>
      </c>
      <c r="F151" s="6" t="s">
        <v>214</v>
      </c>
      <c r="G151" s="7" t="s">
        <v>43</v>
      </c>
      <c r="H151" s="7" t="s">
        <v>38</v>
      </c>
      <c r="I151" s="7" t="s">
        <v>372</v>
      </c>
      <c r="J151" s="6" t="s">
        <v>22</v>
      </c>
      <c r="K151" s="6" t="n">
        <v>7</v>
      </c>
      <c r="L151" s="7" t="s">
        <v>328</v>
      </c>
      <c r="M151" s="6" t="n">
        <v>21</v>
      </c>
      <c r="N151" s="7" t="s">
        <v>40</v>
      </c>
    </row>
    <row r="152" customFormat="false" ht="29.85" hidden="false" customHeight="false" outlineLevel="0" collapsed="false">
      <c r="A152" s="6" t="n">
        <v>151</v>
      </c>
      <c r="B152" s="7" t="s">
        <v>14</v>
      </c>
      <c r="C152" s="7" t="s">
        <v>324</v>
      </c>
      <c r="D152" s="8" t="s">
        <v>373</v>
      </c>
      <c r="E152" s="7" t="s">
        <v>374</v>
      </c>
      <c r="F152" s="6" t="s">
        <v>31</v>
      </c>
      <c r="G152" s="7" t="s">
        <v>43</v>
      </c>
      <c r="H152" s="7" t="s">
        <v>38</v>
      </c>
      <c r="I152" s="7" t="s">
        <v>375</v>
      </c>
      <c r="J152" s="6" t="s">
        <v>22</v>
      </c>
      <c r="K152" s="6" t="n">
        <v>7</v>
      </c>
      <c r="L152" s="7" t="s">
        <v>328</v>
      </c>
      <c r="M152" s="6" t="n">
        <v>22</v>
      </c>
      <c r="N152" s="7" t="s">
        <v>40</v>
      </c>
    </row>
    <row r="153" customFormat="false" ht="29.85" hidden="false" customHeight="false" outlineLevel="0" collapsed="false">
      <c r="A153" s="6" t="n">
        <v>152</v>
      </c>
      <c r="B153" s="7" t="s">
        <v>14</v>
      </c>
      <c r="C153" s="7" t="s">
        <v>324</v>
      </c>
      <c r="D153" s="9" t="s">
        <v>376</v>
      </c>
      <c r="E153" s="6" t="s">
        <v>377</v>
      </c>
      <c r="F153" s="6" t="s">
        <v>378</v>
      </c>
      <c r="G153" s="7" t="s">
        <v>27</v>
      </c>
      <c r="H153" s="7" t="s">
        <v>38</v>
      </c>
      <c r="I153" s="7" t="s">
        <v>379</v>
      </c>
      <c r="J153" s="6" t="s">
        <v>22</v>
      </c>
      <c r="K153" s="6" t="n">
        <v>7</v>
      </c>
      <c r="L153" s="7" t="s">
        <v>328</v>
      </c>
      <c r="M153" s="6" t="n">
        <v>23</v>
      </c>
      <c r="N153" s="7" t="s">
        <v>40</v>
      </c>
    </row>
    <row r="154" customFormat="false" ht="29.85" hidden="false" customHeight="false" outlineLevel="0" collapsed="false">
      <c r="A154" s="6" t="n">
        <v>153</v>
      </c>
      <c r="B154" s="7" t="s">
        <v>14</v>
      </c>
      <c r="C154" s="7" t="s">
        <v>324</v>
      </c>
      <c r="D154" s="9" t="s">
        <v>380</v>
      </c>
      <c r="E154" s="7" t="s">
        <v>381</v>
      </c>
      <c r="F154" s="6" t="s">
        <v>31</v>
      </c>
      <c r="G154" s="7" t="s">
        <v>27</v>
      </c>
      <c r="H154" s="7" t="s">
        <v>38</v>
      </c>
      <c r="I154" s="7" t="s">
        <v>163</v>
      </c>
      <c r="J154" s="6" t="s">
        <v>22</v>
      </c>
      <c r="K154" s="6" t="n">
        <v>7</v>
      </c>
      <c r="L154" s="7" t="s">
        <v>328</v>
      </c>
      <c r="M154" s="6" t="n">
        <v>24</v>
      </c>
      <c r="N154" s="7" t="s">
        <v>40</v>
      </c>
    </row>
    <row r="155" customFormat="false" ht="29.85" hidden="false" customHeight="false" outlineLevel="0" collapsed="false">
      <c r="A155" s="6" t="n">
        <v>154</v>
      </c>
      <c r="B155" s="7" t="s">
        <v>14</v>
      </c>
      <c r="C155" s="7" t="s">
        <v>324</v>
      </c>
      <c r="D155" s="9" t="s">
        <v>382</v>
      </c>
      <c r="E155" s="7" t="s">
        <v>342</v>
      </c>
      <c r="F155" s="6" t="s">
        <v>31</v>
      </c>
      <c r="G155" s="7" t="s">
        <v>27</v>
      </c>
      <c r="H155" s="7" t="s">
        <v>38</v>
      </c>
      <c r="I155" s="7" t="s">
        <v>123</v>
      </c>
      <c r="J155" s="6" t="s">
        <v>22</v>
      </c>
      <c r="K155" s="6" t="n">
        <v>7</v>
      </c>
      <c r="L155" s="7" t="s">
        <v>328</v>
      </c>
      <c r="M155" s="6" t="n">
        <v>25</v>
      </c>
      <c r="N155" s="7" t="s">
        <v>40</v>
      </c>
    </row>
    <row r="156" customFormat="false" ht="44" hidden="false" customHeight="false" outlineLevel="0" collapsed="false">
      <c r="A156" s="6" t="n">
        <v>155</v>
      </c>
      <c r="B156" s="7" t="s">
        <v>14</v>
      </c>
      <c r="C156" s="7" t="s">
        <v>324</v>
      </c>
      <c r="D156" s="9" t="s">
        <v>383</v>
      </c>
      <c r="E156" s="7" t="s">
        <v>381</v>
      </c>
      <c r="F156" s="6" t="s">
        <v>31</v>
      </c>
      <c r="G156" s="7" t="s">
        <v>27</v>
      </c>
      <c r="H156" s="7" t="s">
        <v>38</v>
      </c>
      <c r="I156" s="7" t="s">
        <v>384</v>
      </c>
      <c r="J156" s="6" t="s">
        <v>22</v>
      </c>
      <c r="K156" s="6" t="n">
        <v>7</v>
      </c>
      <c r="L156" s="7" t="s">
        <v>328</v>
      </c>
      <c r="M156" s="6" t="n">
        <v>26</v>
      </c>
      <c r="N156" s="7" t="s">
        <v>40</v>
      </c>
    </row>
    <row r="157" customFormat="false" ht="44" hidden="false" customHeight="false" outlineLevel="0" collapsed="false">
      <c r="A157" s="6" t="n">
        <v>156</v>
      </c>
      <c r="B157" s="7" t="s">
        <v>14</v>
      </c>
      <c r="C157" s="7" t="s">
        <v>324</v>
      </c>
      <c r="D157" s="9" t="s">
        <v>385</v>
      </c>
      <c r="E157" s="7" t="s">
        <v>386</v>
      </c>
      <c r="F157" s="6" t="s">
        <v>31</v>
      </c>
      <c r="G157" s="7" t="s">
        <v>43</v>
      </c>
      <c r="H157" s="7" t="s">
        <v>38</v>
      </c>
      <c r="I157" s="7" t="s">
        <v>387</v>
      </c>
      <c r="J157" s="6" t="s">
        <v>22</v>
      </c>
      <c r="K157" s="6" t="n">
        <v>7</v>
      </c>
      <c r="L157" s="7" t="s">
        <v>328</v>
      </c>
      <c r="M157" s="6" t="n">
        <v>27</v>
      </c>
      <c r="N157" s="7" t="s">
        <v>40</v>
      </c>
    </row>
    <row r="158" customFormat="false" ht="44" hidden="false" customHeight="false" outlineLevel="0" collapsed="false">
      <c r="A158" s="6" t="n">
        <v>157</v>
      </c>
      <c r="B158" s="7" t="s">
        <v>14</v>
      </c>
      <c r="C158" s="7" t="s">
        <v>324</v>
      </c>
      <c r="D158" s="9" t="s">
        <v>388</v>
      </c>
      <c r="E158" s="6" t="s">
        <v>377</v>
      </c>
      <c r="F158" s="6" t="s">
        <v>378</v>
      </c>
      <c r="G158" s="7" t="s">
        <v>27</v>
      </c>
      <c r="H158" s="10" t="s">
        <v>389</v>
      </c>
      <c r="I158" s="7" t="s">
        <v>390</v>
      </c>
      <c r="J158" s="6" t="s">
        <v>22</v>
      </c>
      <c r="K158" s="6" t="n">
        <v>7</v>
      </c>
      <c r="L158" s="7" t="s">
        <v>328</v>
      </c>
      <c r="M158" s="6" t="n">
        <v>28</v>
      </c>
      <c r="N158" s="7" t="s">
        <v>40</v>
      </c>
    </row>
    <row r="159" customFormat="false" ht="26.85" hidden="false" customHeight="false" outlineLevel="0" collapsed="false">
      <c r="A159" s="6" t="n">
        <v>158</v>
      </c>
      <c r="B159" s="7" t="s">
        <v>14</v>
      </c>
      <c r="C159" s="7" t="s">
        <v>391</v>
      </c>
      <c r="D159" s="9" t="s">
        <v>392</v>
      </c>
      <c r="E159" s="7" t="s">
        <v>393</v>
      </c>
      <c r="F159" s="6" t="s">
        <v>214</v>
      </c>
      <c r="G159" s="7" t="s">
        <v>43</v>
      </c>
      <c r="H159" s="7" t="s">
        <v>20</v>
      </c>
      <c r="I159" s="7" t="s">
        <v>243</v>
      </c>
      <c r="J159" s="6" t="s">
        <v>22</v>
      </c>
      <c r="K159" s="6" t="n">
        <v>8</v>
      </c>
      <c r="L159" s="7" t="s">
        <v>394</v>
      </c>
      <c r="M159" s="6" t="n">
        <v>1</v>
      </c>
      <c r="N159" s="7" t="s">
        <v>24</v>
      </c>
    </row>
    <row r="160" customFormat="false" ht="29.85" hidden="false" customHeight="false" outlineLevel="0" collapsed="false">
      <c r="A160" s="6" t="n">
        <v>159</v>
      </c>
      <c r="B160" s="7" t="s">
        <v>14</v>
      </c>
      <c r="C160" s="7" t="s">
        <v>391</v>
      </c>
      <c r="D160" s="8" t="s">
        <v>395</v>
      </c>
      <c r="E160" s="7" t="s">
        <v>396</v>
      </c>
      <c r="F160" s="6" t="s">
        <v>214</v>
      </c>
      <c r="G160" s="7" t="s">
        <v>43</v>
      </c>
      <c r="H160" s="7" t="s">
        <v>20</v>
      </c>
      <c r="I160" s="7" t="s">
        <v>85</v>
      </c>
      <c r="J160" s="6" t="s">
        <v>22</v>
      </c>
      <c r="K160" s="6" t="n">
        <v>8</v>
      </c>
      <c r="L160" s="7" t="s">
        <v>394</v>
      </c>
      <c r="M160" s="6" t="n">
        <v>2</v>
      </c>
      <c r="N160" s="7" t="s">
        <v>24</v>
      </c>
    </row>
    <row r="161" customFormat="false" ht="29.85" hidden="false" customHeight="false" outlineLevel="0" collapsed="false">
      <c r="A161" s="6" t="n">
        <v>160</v>
      </c>
      <c r="B161" s="7" t="s">
        <v>14</v>
      </c>
      <c r="C161" s="7" t="s">
        <v>391</v>
      </c>
      <c r="D161" s="9" t="s">
        <v>397</v>
      </c>
      <c r="E161" s="7" t="s">
        <v>393</v>
      </c>
      <c r="F161" s="6" t="s">
        <v>214</v>
      </c>
      <c r="G161" s="7" t="s">
        <v>43</v>
      </c>
      <c r="H161" s="7" t="s">
        <v>20</v>
      </c>
      <c r="I161" s="7" t="s">
        <v>203</v>
      </c>
      <c r="J161" s="6" t="s">
        <v>22</v>
      </c>
      <c r="K161" s="6" t="n">
        <v>8</v>
      </c>
      <c r="L161" s="7" t="s">
        <v>394</v>
      </c>
      <c r="M161" s="6" t="n">
        <v>3</v>
      </c>
      <c r="N161" s="7" t="s">
        <v>24</v>
      </c>
    </row>
    <row r="162" customFormat="false" ht="15" hidden="false" customHeight="false" outlineLevel="0" collapsed="false">
      <c r="A162" s="6" t="n">
        <v>161</v>
      </c>
      <c r="B162" s="7" t="s">
        <v>14</v>
      </c>
      <c r="C162" s="7" t="s">
        <v>391</v>
      </c>
      <c r="D162" s="8" t="s">
        <v>398</v>
      </c>
      <c r="E162" s="8" t="s">
        <v>399</v>
      </c>
      <c r="F162" s="6" t="s">
        <v>37</v>
      </c>
      <c r="G162" s="7" t="s">
        <v>27</v>
      </c>
      <c r="H162" s="7" t="s">
        <v>38</v>
      </c>
      <c r="I162" s="7" t="s">
        <v>95</v>
      </c>
      <c r="J162" s="6" t="s">
        <v>22</v>
      </c>
      <c r="K162" s="6" t="n">
        <v>8</v>
      </c>
      <c r="L162" s="7" t="s">
        <v>394</v>
      </c>
      <c r="M162" s="6" t="n">
        <v>4</v>
      </c>
      <c r="N162" s="7" t="s">
        <v>40</v>
      </c>
    </row>
    <row r="163" customFormat="false" ht="15" hidden="false" customHeight="false" outlineLevel="0" collapsed="false">
      <c r="A163" s="6" t="n">
        <v>162</v>
      </c>
      <c r="B163" s="7" t="s">
        <v>14</v>
      </c>
      <c r="C163" s="7" t="s">
        <v>391</v>
      </c>
      <c r="D163" s="8" t="s">
        <v>400</v>
      </c>
      <c r="E163" s="7" t="s">
        <v>401</v>
      </c>
      <c r="F163" s="6" t="s">
        <v>37</v>
      </c>
      <c r="G163" s="7" t="s">
        <v>27</v>
      </c>
      <c r="H163" s="7" t="s">
        <v>38</v>
      </c>
      <c r="I163" s="7" t="s">
        <v>95</v>
      </c>
      <c r="J163" s="6" t="s">
        <v>22</v>
      </c>
      <c r="K163" s="6" t="n">
        <v>8</v>
      </c>
      <c r="L163" s="7" t="s">
        <v>394</v>
      </c>
      <c r="M163" s="6" t="n">
        <v>5</v>
      </c>
      <c r="N163" s="7" t="s">
        <v>40</v>
      </c>
    </row>
    <row r="164" customFormat="false" ht="15" hidden="false" customHeight="false" outlineLevel="0" collapsed="false">
      <c r="A164" s="6" t="n">
        <v>163</v>
      </c>
      <c r="B164" s="7" t="s">
        <v>14</v>
      </c>
      <c r="C164" s="7" t="s">
        <v>391</v>
      </c>
      <c r="D164" s="8" t="s">
        <v>402</v>
      </c>
      <c r="E164" s="7" t="s">
        <v>403</v>
      </c>
      <c r="F164" s="6" t="s">
        <v>37</v>
      </c>
      <c r="G164" s="7" t="s">
        <v>27</v>
      </c>
      <c r="H164" s="7" t="s">
        <v>38</v>
      </c>
      <c r="I164" s="7" t="s">
        <v>108</v>
      </c>
      <c r="J164" s="6" t="s">
        <v>22</v>
      </c>
      <c r="K164" s="6" t="n">
        <v>8</v>
      </c>
      <c r="L164" s="7" t="s">
        <v>394</v>
      </c>
      <c r="M164" s="6" t="n">
        <v>6</v>
      </c>
      <c r="N164" s="7" t="s">
        <v>40</v>
      </c>
    </row>
    <row r="165" customFormat="false" ht="15" hidden="false" customHeight="false" outlineLevel="0" collapsed="false">
      <c r="A165" s="6" t="n">
        <v>164</v>
      </c>
      <c r="B165" s="7" t="s">
        <v>14</v>
      </c>
      <c r="C165" s="7" t="s">
        <v>391</v>
      </c>
      <c r="D165" s="8" t="s">
        <v>404</v>
      </c>
      <c r="E165" s="7" t="s">
        <v>405</v>
      </c>
      <c r="F165" s="6" t="s">
        <v>37</v>
      </c>
      <c r="G165" s="7" t="s">
        <v>27</v>
      </c>
      <c r="H165" s="7" t="s">
        <v>38</v>
      </c>
      <c r="I165" s="7" t="s">
        <v>120</v>
      </c>
      <c r="J165" s="6" t="s">
        <v>22</v>
      </c>
      <c r="K165" s="6" t="n">
        <v>8</v>
      </c>
      <c r="L165" s="7" t="s">
        <v>394</v>
      </c>
      <c r="M165" s="6" t="n">
        <v>7</v>
      </c>
      <c r="N165" s="7" t="s">
        <v>40</v>
      </c>
    </row>
    <row r="166" customFormat="false" ht="15" hidden="false" customHeight="false" outlineLevel="0" collapsed="false">
      <c r="A166" s="6" t="n">
        <v>165</v>
      </c>
      <c r="B166" s="7" t="s">
        <v>14</v>
      </c>
      <c r="C166" s="7" t="s">
        <v>391</v>
      </c>
      <c r="D166" s="8" t="s">
        <v>406</v>
      </c>
      <c r="E166" s="7" t="s">
        <v>407</v>
      </c>
      <c r="F166" s="6" t="s">
        <v>37</v>
      </c>
      <c r="G166" s="7" t="s">
        <v>27</v>
      </c>
      <c r="H166" s="7" t="s">
        <v>38</v>
      </c>
      <c r="I166" s="7" t="s">
        <v>120</v>
      </c>
      <c r="J166" s="6" t="s">
        <v>22</v>
      </c>
      <c r="K166" s="6" t="n">
        <v>8</v>
      </c>
      <c r="L166" s="7" t="s">
        <v>394</v>
      </c>
      <c r="M166" s="6" t="n">
        <v>8</v>
      </c>
      <c r="N166" s="7" t="s">
        <v>40</v>
      </c>
    </row>
    <row r="167" customFormat="false" ht="15" hidden="false" customHeight="false" outlineLevel="0" collapsed="false">
      <c r="A167" s="6" t="n">
        <v>166</v>
      </c>
      <c r="B167" s="7" t="s">
        <v>14</v>
      </c>
      <c r="C167" s="7" t="s">
        <v>391</v>
      </c>
      <c r="D167" s="8" t="s">
        <v>408</v>
      </c>
      <c r="E167" s="6" t="s">
        <v>409</v>
      </c>
      <c r="F167" s="6" t="s">
        <v>37</v>
      </c>
      <c r="G167" s="7" t="s">
        <v>27</v>
      </c>
      <c r="H167" s="7" t="s">
        <v>38</v>
      </c>
      <c r="I167" s="7" t="s">
        <v>410</v>
      </c>
      <c r="J167" s="6" t="s">
        <v>22</v>
      </c>
      <c r="K167" s="6" t="n">
        <v>8</v>
      </c>
      <c r="L167" s="7" t="s">
        <v>394</v>
      </c>
      <c r="M167" s="6" t="n">
        <v>9</v>
      </c>
      <c r="N167" s="7" t="s">
        <v>40</v>
      </c>
    </row>
    <row r="168" customFormat="false" ht="15" hidden="false" customHeight="false" outlineLevel="0" collapsed="false">
      <c r="A168" s="6" t="n">
        <v>167</v>
      </c>
      <c r="B168" s="7" t="s">
        <v>14</v>
      </c>
      <c r="C168" s="7" t="s">
        <v>391</v>
      </c>
      <c r="D168" s="8" t="s">
        <v>411</v>
      </c>
      <c r="E168" s="7" t="s">
        <v>412</v>
      </c>
      <c r="F168" s="6" t="s">
        <v>37</v>
      </c>
      <c r="G168" s="7" t="s">
        <v>27</v>
      </c>
      <c r="H168" s="7" t="s">
        <v>38</v>
      </c>
      <c r="I168" s="7" t="s">
        <v>351</v>
      </c>
      <c r="J168" s="6" t="s">
        <v>22</v>
      </c>
      <c r="K168" s="6" t="n">
        <v>8</v>
      </c>
      <c r="L168" s="7" t="s">
        <v>394</v>
      </c>
      <c r="M168" s="6" t="n">
        <v>10</v>
      </c>
      <c r="N168" s="7" t="s">
        <v>40</v>
      </c>
    </row>
    <row r="169" customFormat="false" ht="29.85" hidden="false" customHeight="false" outlineLevel="0" collapsed="false">
      <c r="A169" s="6" t="n">
        <v>168</v>
      </c>
      <c r="B169" s="7" t="s">
        <v>14</v>
      </c>
      <c r="C169" s="7" t="s">
        <v>391</v>
      </c>
      <c r="D169" s="8" t="s">
        <v>413</v>
      </c>
      <c r="E169" s="6" t="s">
        <v>414</v>
      </c>
      <c r="F169" s="6" t="s">
        <v>378</v>
      </c>
      <c r="G169" s="7" t="s">
        <v>27</v>
      </c>
      <c r="H169" s="7" t="s">
        <v>38</v>
      </c>
      <c r="I169" s="7" t="s">
        <v>415</v>
      </c>
      <c r="J169" s="6" t="s">
        <v>22</v>
      </c>
      <c r="K169" s="6" t="n">
        <v>8</v>
      </c>
      <c r="L169" s="7" t="s">
        <v>394</v>
      </c>
      <c r="M169" s="6" t="n">
        <v>11</v>
      </c>
      <c r="N169" s="7" t="s">
        <v>40</v>
      </c>
    </row>
    <row r="170" customFormat="false" ht="29.85" hidden="false" customHeight="false" outlineLevel="0" collapsed="false">
      <c r="A170" s="6" t="n">
        <v>169</v>
      </c>
      <c r="B170" s="7" t="s">
        <v>14</v>
      </c>
      <c r="C170" s="7" t="s">
        <v>391</v>
      </c>
      <c r="D170" s="8" t="s">
        <v>416</v>
      </c>
      <c r="E170" s="6" t="s">
        <v>417</v>
      </c>
      <c r="F170" s="6" t="s">
        <v>378</v>
      </c>
      <c r="G170" s="7" t="s">
        <v>27</v>
      </c>
      <c r="H170" s="7" t="s">
        <v>38</v>
      </c>
      <c r="I170" s="7" t="s">
        <v>418</v>
      </c>
      <c r="J170" s="6" t="s">
        <v>22</v>
      </c>
      <c r="K170" s="6" t="n">
        <v>8</v>
      </c>
      <c r="L170" s="7" t="s">
        <v>394</v>
      </c>
      <c r="M170" s="6" t="n">
        <v>12</v>
      </c>
      <c r="N170" s="7" t="s">
        <v>40</v>
      </c>
    </row>
    <row r="171" customFormat="false" ht="29.85" hidden="false" customHeight="false" outlineLevel="0" collapsed="false">
      <c r="A171" s="6" t="n">
        <v>170</v>
      </c>
      <c r="B171" s="7" t="s">
        <v>14</v>
      </c>
      <c r="C171" s="7" t="s">
        <v>391</v>
      </c>
      <c r="D171" s="9" t="s">
        <v>419</v>
      </c>
      <c r="E171" s="6" t="s">
        <v>420</v>
      </c>
      <c r="F171" s="6" t="s">
        <v>214</v>
      </c>
      <c r="G171" s="7" t="s">
        <v>43</v>
      </c>
      <c r="H171" s="7" t="s">
        <v>38</v>
      </c>
      <c r="I171" s="7" t="s">
        <v>421</v>
      </c>
      <c r="J171" s="6" t="s">
        <v>22</v>
      </c>
      <c r="K171" s="6" t="n">
        <v>8</v>
      </c>
      <c r="L171" s="7" t="s">
        <v>394</v>
      </c>
      <c r="M171" s="6" t="n">
        <v>13</v>
      </c>
      <c r="N171" s="7" t="s">
        <v>40</v>
      </c>
    </row>
    <row r="172" customFormat="false" ht="29.85" hidden="false" customHeight="false" outlineLevel="0" collapsed="false">
      <c r="A172" s="6" t="n">
        <v>171</v>
      </c>
      <c r="B172" s="7" t="s">
        <v>14</v>
      </c>
      <c r="C172" s="7" t="s">
        <v>391</v>
      </c>
      <c r="D172" s="9" t="s">
        <v>422</v>
      </c>
      <c r="E172" s="7" t="s">
        <v>423</v>
      </c>
      <c r="F172" s="6" t="s">
        <v>214</v>
      </c>
      <c r="G172" s="7" t="s">
        <v>43</v>
      </c>
      <c r="H172" s="7" t="s">
        <v>38</v>
      </c>
      <c r="I172" s="7" t="s">
        <v>55</v>
      </c>
      <c r="J172" s="6" t="s">
        <v>22</v>
      </c>
      <c r="K172" s="6" t="n">
        <v>8</v>
      </c>
      <c r="L172" s="7" t="s">
        <v>394</v>
      </c>
      <c r="M172" s="6" t="n">
        <v>14</v>
      </c>
      <c r="N172" s="7" t="s">
        <v>40</v>
      </c>
    </row>
    <row r="173" customFormat="false" ht="29.85" hidden="false" customHeight="false" outlineLevel="0" collapsed="false">
      <c r="A173" s="6" t="n">
        <v>172</v>
      </c>
      <c r="B173" s="7" t="s">
        <v>14</v>
      </c>
      <c r="C173" s="7" t="s">
        <v>391</v>
      </c>
      <c r="D173" s="9" t="s">
        <v>424</v>
      </c>
      <c r="E173" s="6" t="s">
        <v>420</v>
      </c>
      <c r="F173" s="6" t="s">
        <v>214</v>
      </c>
      <c r="G173" s="7" t="s">
        <v>43</v>
      </c>
      <c r="H173" s="7" t="s">
        <v>38</v>
      </c>
      <c r="I173" s="7" t="s">
        <v>425</v>
      </c>
      <c r="J173" s="6" t="s">
        <v>22</v>
      </c>
      <c r="K173" s="6" t="n">
        <v>8</v>
      </c>
      <c r="L173" s="7" t="s">
        <v>394</v>
      </c>
      <c r="M173" s="6" t="n">
        <v>15</v>
      </c>
      <c r="N173" s="7" t="s">
        <v>40</v>
      </c>
    </row>
    <row r="174" customFormat="false" ht="29.85" hidden="false" customHeight="false" outlineLevel="0" collapsed="false">
      <c r="A174" s="6" t="n">
        <v>173</v>
      </c>
      <c r="B174" s="7" t="s">
        <v>14</v>
      </c>
      <c r="C174" s="7" t="s">
        <v>391</v>
      </c>
      <c r="D174" s="8" t="s">
        <v>426</v>
      </c>
      <c r="E174" s="8" t="s">
        <v>427</v>
      </c>
      <c r="F174" s="6" t="s">
        <v>37</v>
      </c>
      <c r="G174" s="7" t="s">
        <v>27</v>
      </c>
      <c r="H174" s="10" t="s">
        <v>389</v>
      </c>
      <c r="I174" s="7" t="s">
        <v>428</v>
      </c>
      <c r="J174" s="6" t="s">
        <v>22</v>
      </c>
      <c r="K174" s="6" t="n">
        <v>8</v>
      </c>
      <c r="L174" s="7" t="s">
        <v>394</v>
      </c>
      <c r="M174" s="6" t="n">
        <v>16</v>
      </c>
      <c r="N174" s="7" t="s">
        <v>40</v>
      </c>
    </row>
    <row r="175" customFormat="false" ht="29.85" hidden="false" customHeight="false" outlineLevel="0" collapsed="false">
      <c r="A175" s="6" t="n">
        <v>174</v>
      </c>
      <c r="B175" s="7" t="s">
        <v>14</v>
      </c>
      <c r="C175" s="7" t="s">
        <v>391</v>
      </c>
      <c r="D175" s="8" t="s">
        <v>429</v>
      </c>
      <c r="E175" s="7" t="s">
        <v>430</v>
      </c>
      <c r="F175" s="6" t="s">
        <v>37</v>
      </c>
      <c r="G175" s="7" t="s">
        <v>27</v>
      </c>
      <c r="H175" s="10" t="s">
        <v>389</v>
      </c>
      <c r="I175" s="7" t="s">
        <v>431</v>
      </c>
      <c r="J175" s="6" t="s">
        <v>22</v>
      </c>
      <c r="K175" s="6" t="n">
        <v>8</v>
      </c>
      <c r="L175" s="7" t="s">
        <v>394</v>
      </c>
      <c r="M175" s="6" t="n">
        <v>17</v>
      </c>
      <c r="N175" s="7" t="s">
        <v>40</v>
      </c>
    </row>
    <row r="176" customFormat="false" ht="44" hidden="false" customHeight="false" outlineLevel="0" collapsed="false">
      <c r="A176" s="6" t="n">
        <v>175</v>
      </c>
      <c r="B176" s="7" t="s">
        <v>14</v>
      </c>
      <c r="C176" s="7" t="s">
        <v>391</v>
      </c>
      <c r="D176" s="8" t="s">
        <v>432</v>
      </c>
      <c r="E176" s="8" t="s">
        <v>433</v>
      </c>
      <c r="F176" s="6" t="s">
        <v>37</v>
      </c>
      <c r="G176" s="7" t="s">
        <v>27</v>
      </c>
      <c r="H176" s="10" t="s">
        <v>389</v>
      </c>
      <c r="I176" s="7" t="s">
        <v>390</v>
      </c>
      <c r="J176" s="6" t="s">
        <v>22</v>
      </c>
      <c r="K176" s="6" t="n">
        <v>8</v>
      </c>
      <c r="L176" s="7" t="s">
        <v>394</v>
      </c>
      <c r="M176" s="6" t="n">
        <v>18</v>
      </c>
      <c r="N176" s="7" t="s">
        <v>40</v>
      </c>
    </row>
    <row r="177" customFormat="false" ht="15" hidden="false" customHeight="false" outlineLevel="0" collapsed="false">
      <c r="A177" s="6" t="n">
        <v>176</v>
      </c>
      <c r="B177" s="7" t="s">
        <v>14</v>
      </c>
      <c r="C177" s="7" t="s">
        <v>434</v>
      </c>
      <c r="D177" s="8" t="s">
        <v>435</v>
      </c>
      <c r="E177" s="8" t="s">
        <v>436</v>
      </c>
      <c r="F177" s="6" t="s">
        <v>37</v>
      </c>
      <c r="G177" s="7" t="s">
        <v>27</v>
      </c>
      <c r="H177" s="7" t="s">
        <v>38</v>
      </c>
      <c r="I177" s="7" t="s">
        <v>153</v>
      </c>
      <c r="J177" s="6" t="s">
        <v>22</v>
      </c>
      <c r="K177" s="6" t="n">
        <v>9</v>
      </c>
      <c r="L177" s="7" t="s">
        <v>437</v>
      </c>
      <c r="M177" s="6" t="n">
        <v>1</v>
      </c>
      <c r="N177" s="7" t="s">
        <v>40</v>
      </c>
    </row>
    <row r="178" customFormat="false" ht="15" hidden="false" customHeight="false" outlineLevel="0" collapsed="false">
      <c r="A178" s="6" t="n">
        <v>177</v>
      </c>
      <c r="B178" s="7" t="s">
        <v>438</v>
      </c>
      <c r="C178" s="7" t="s">
        <v>439</v>
      </c>
      <c r="D178" s="8" t="s">
        <v>440</v>
      </c>
      <c r="E178" s="7" t="s">
        <v>441</v>
      </c>
      <c r="F178" s="6" t="s">
        <v>18</v>
      </c>
      <c r="G178" s="7" t="s">
        <v>43</v>
      </c>
      <c r="H178" s="7" t="s">
        <v>20</v>
      </c>
      <c r="I178" s="7" t="s">
        <v>34</v>
      </c>
      <c r="J178" s="6" t="s">
        <v>22</v>
      </c>
      <c r="K178" s="6" t="n">
        <v>10</v>
      </c>
      <c r="L178" s="7" t="s">
        <v>442</v>
      </c>
      <c r="M178" s="6" t="n">
        <v>1</v>
      </c>
      <c r="N178" s="7" t="s">
        <v>24</v>
      </c>
    </row>
    <row r="179" customFormat="false" ht="15" hidden="false" customHeight="false" outlineLevel="0" collapsed="false">
      <c r="A179" s="6" t="n">
        <v>178</v>
      </c>
      <c r="B179" s="7" t="s">
        <v>438</v>
      </c>
      <c r="C179" s="7" t="s">
        <v>439</v>
      </c>
      <c r="D179" s="8" t="s">
        <v>443</v>
      </c>
      <c r="E179" s="7" t="s">
        <v>444</v>
      </c>
      <c r="F179" s="6" t="s">
        <v>18</v>
      </c>
      <c r="G179" s="7" t="s">
        <v>43</v>
      </c>
      <c r="H179" s="7" t="s">
        <v>20</v>
      </c>
      <c r="I179" s="7" t="s">
        <v>34</v>
      </c>
      <c r="J179" s="6" t="s">
        <v>22</v>
      </c>
      <c r="K179" s="6" t="n">
        <v>10</v>
      </c>
      <c r="L179" s="7" t="s">
        <v>442</v>
      </c>
      <c r="M179" s="6" t="n">
        <v>2</v>
      </c>
      <c r="N179" s="7" t="s">
        <v>24</v>
      </c>
    </row>
    <row r="180" customFormat="false" ht="15" hidden="false" customHeight="false" outlineLevel="0" collapsed="false">
      <c r="A180" s="6" t="n">
        <v>179</v>
      </c>
      <c r="B180" s="7" t="s">
        <v>438</v>
      </c>
      <c r="C180" s="7" t="s">
        <v>439</v>
      </c>
      <c r="D180" s="8" t="s">
        <v>445</v>
      </c>
      <c r="E180" s="7" t="s">
        <v>446</v>
      </c>
      <c r="F180" s="6" t="s">
        <v>18</v>
      </c>
      <c r="G180" s="7" t="s">
        <v>43</v>
      </c>
      <c r="H180" s="7" t="s">
        <v>20</v>
      </c>
      <c r="I180" s="7" t="s">
        <v>46</v>
      </c>
      <c r="J180" s="6" t="s">
        <v>22</v>
      </c>
      <c r="K180" s="6" t="n">
        <v>10</v>
      </c>
      <c r="L180" s="7" t="s">
        <v>442</v>
      </c>
      <c r="M180" s="6" t="n">
        <v>3</v>
      </c>
      <c r="N180" s="7" t="s">
        <v>24</v>
      </c>
    </row>
    <row r="181" customFormat="false" ht="29.85" hidden="false" customHeight="false" outlineLevel="0" collapsed="false">
      <c r="A181" s="6" t="n">
        <v>180</v>
      </c>
      <c r="B181" s="7" t="s">
        <v>438</v>
      </c>
      <c r="C181" s="7" t="s">
        <v>439</v>
      </c>
      <c r="D181" s="8" t="s">
        <v>447</v>
      </c>
      <c r="E181" s="7" t="s">
        <v>448</v>
      </c>
      <c r="F181" s="6" t="s">
        <v>18</v>
      </c>
      <c r="G181" s="7" t="s">
        <v>43</v>
      </c>
      <c r="H181" s="7" t="s">
        <v>20</v>
      </c>
      <c r="I181" s="7" t="s">
        <v>254</v>
      </c>
      <c r="J181" s="6" t="s">
        <v>22</v>
      </c>
      <c r="K181" s="6" t="n">
        <v>10</v>
      </c>
      <c r="L181" s="7" t="s">
        <v>442</v>
      </c>
      <c r="M181" s="6" t="n">
        <v>4</v>
      </c>
      <c r="N181" s="7" t="s">
        <v>24</v>
      </c>
    </row>
    <row r="182" customFormat="false" ht="29.85" hidden="false" customHeight="false" outlineLevel="0" collapsed="false">
      <c r="A182" s="6" t="n">
        <v>181</v>
      </c>
      <c r="B182" s="7" t="s">
        <v>438</v>
      </c>
      <c r="C182" s="7" t="s">
        <v>439</v>
      </c>
      <c r="D182" s="8" t="s">
        <v>449</v>
      </c>
      <c r="E182" s="7" t="s">
        <v>450</v>
      </c>
      <c r="F182" s="6" t="s">
        <v>18</v>
      </c>
      <c r="G182" s="7" t="s">
        <v>43</v>
      </c>
      <c r="H182" s="7" t="s">
        <v>38</v>
      </c>
      <c r="I182" s="7" t="s">
        <v>303</v>
      </c>
      <c r="J182" s="6" t="s">
        <v>22</v>
      </c>
      <c r="K182" s="6" t="n">
        <v>10</v>
      </c>
      <c r="L182" s="7" t="s">
        <v>442</v>
      </c>
      <c r="M182" s="6" t="n">
        <v>5</v>
      </c>
      <c r="N182" s="7" t="s">
        <v>40</v>
      </c>
    </row>
    <row r="183" customFormat="false" ht="29.85" hidden="false" customHeight="false" outlineLevel="0" collapsed="false">
      <c r="A183" s="6" t="n">
        <v>182</v>
      </c>
      <c r="B183" s="7" t="s">
        <v>438</v>
      </c>
      <c r="C183" s="7" t="s">
        <v>439</v>
      </c>
      <c r="D183" s="8" t="s">
        <v>451</v>
      </c>
      <c r="E183" s="7" t="s">
        <v>452</v>
      </c>
      <c r="F183" s="6" t="s">
        <v>18</v>
      </c>
      <c r="G183" s="7" t="s">
        <v>43</v>
      </c>
      <c r="H183" s="7" t="s">
        <v>20</v>
      </c>
      <c r="I183" s="7" t="s">
        <v>85</v>
      </c>
      <c r="J183" s="6" t="s">
        <v>22</v>
      </c>
      <c r="K183" s="6" t="n">
        <v>10</v>
      </c>
      <c r="L183" s="7" t="s">
        <v>442</v>
      </c>
      <c r="M183" s="6" t="n">
        <v>6</v>
      </c>
      <c r="N183" s="7" t="s">
        <v>24</v>
      </c>
    </row>
    <row r="184" customFormat="false" ht="29.85" hidden="false" customHeight="false" outlineLevel="0" collapsed="false">
      <c r="A184" s="6" t="n">
        <v>183</v>
      </c>
      <c r="B184" s="7" t="s">
        <v>438</v>
      </c>
      <c r="C184" s="7" t="s">
        <v>439</v>
      </c>
      <c r="D184" s="8" t="s">
        <v>453</v>
      </c>
      <c r="E184" s="7" t="s">
        <v>454</v>
      </c>
      <c r="F184" s="6" t="s">
        <v>18</v>
      </c>
      <c r="G184" s="7" t="s">
        <v>43</v>
      </c>
      <c r="H184" s="7" t="s">
        <v>20</v>
      </c>
      <c r="I184" s="7" t="s">
        <v>88</v>
      </c>
      <c r="J184" s="6" t="s">
        <v>22</v>
      </c>
      <c r="K184" s="6" t="n">
        <v>10</v>
      </c>
      <c r="L184" s="7" t="s">
        <v>442</v>
      </c>
      <c r="M184" s="6" t="n">
        <v>7</v>
      </c>
      <c r="N184" s="7" t="s">
        <v>24</v>
      </c>
    </row>
    <row r="185" customFormat="false" ht="29.85" hidden="false" customHeight="false" outlineLevel="0" collapsed="false">
      <c r="A185" s="6" t="n">
        <v>184</v>
      </c>
      <c r="B185" s="7" t="s">
        <v>438</v>
      </c>
      <c r="C185" s="7" t="s">
        <v>439</v>
      </c>
      <c r="D185" s="8" t="s">
        <v>455</v>
      </c>
      <c r="E185" s="7" t="s">
        <v>87</v>
      </c>
      <c r="F185" s="6" t="s">
        <v>18</v>
      </c>
      <c r="G185" s="7" t="s">
        <v>43</v>
      </c>
      <c r="H185" s="7" t="s">
        <v>20</v>
      </c>
      <c r="I185" s="7" t="s">
        <v>91</v>
      </c>
      <c r="J185" s="6" t="s">
        <v>22</v>
      </c>
      <c r="K185" s="6" t="n">
        <v>10</v>
      </c>
      <c r="L185" s="7" t="s">
        <v>442</v>
      </c>
      <c r="M185" s="6" t="n">
        <v>8</v>
      </c>
      <c r="N185" s="7" t="s">
        <v>24</v>
      </c>
    </row>
    <row r="186" customFormat="false" ht="29.85" hidden="false" customHeight="false" outlineLevel="0" collapsed="false">
      <c r="A186" s="6" t="n">
        <v>185</v>
      </c>
      <c r="B186" s="7" t="s">
        <v>438</v>
      </c>
      <c r="C186" s="7" t="s">
        <v>439</v>
      </c>
      <c r="D186" s="8" t="s">
        <v>456</v>
      </c>
      <c r="E186" s="7" t="s">
        <v>446</v>
      </c>
      <c r="F186" s="6" t="s">
        <v>18</v>
      </c>
      <c r="G186" s="7" t="s">
        <v>43</v>
      </c>
      <c r="H186" s="7" t="s">
        <v>20</v>
      </c>
      <c r="I186" s="7" t="s">
        <v>457</v>
      </c>
      <c r="J186" s="6" t="s">
        <v>22</v>
      </c>
      <c r="K186" s="6" t="n">
        <v>10</v>
      </c>
      <c r="L186" s="7" t="s">
        <v>442</v>
      </c>
      <c r="M186" s="6" t="n">
        <v>9</v>
      </c>
      <c r="N186" s="7" t="s">
        <v>24</v>
      </c>
    </row>
    <row r="187" customFormat="false" ht="29.85" hidden="false" customHeight="false" outlineLevel="0" collapsed="false">
      <c r="A187" s="6" t="n">
        <v>186</v>
      </c>
      <c r="B187" s="7" t="s">
        <v>438</v>
      </c>
      <c r="C187" s="7" t="s">
        <v>439</v>
      </c>
      <c r="D187" s="8" t="s">
        <v>458</v>
      </c>
      <c r="E187" s="7" t="s">
        <v>459</v>
      </c>
      <c r="F187" s="6" t="s">
        <v>18</v>
      </c>
      <c r="G187" s="7" t="s">
        <v>43</v>
      </c>
      <c r="H187" s="7" t="s">
        <v>38</v>
      </c>
      <c r="I187" s="7" t="s">
        <v>303</v>
      </c>
      <c r="J187" s="6" t="s">
        <v>22</v>
      </c>
      <c r="K187" s="6" t="n">
        <v>10</v>
      </c>
      <c r="L187" s="7" t="s">
        <v>442</v>
      </c>
      <c r="M187" s="6" t="n">
        <v>10</v>
      </c>
      <c r="N187" s="7" t="s">
        <v>40</v>
      </c>
    </row>
    <row r="188" customFormat="false" ht="29.85" hidden="false" customHeight="false" outlineLevel="0" collapsed="false">
      <c r="A188" s="6" t="n">
        <v>187</v>
      </c>
      <c r="B188" s="7" t="s">
        <v>438</v>
      </c>
      <c r="C188" s="7" t="s">
        <v>439</v>
      </c>
      <c r="D188" s="8" t="s">
        <v>460</v>
      </c>
      <c r="E188" s="7" t="s">
        <v>448</v>
      </c>
      <c r="F188" s="6" t="s">
        <v>18</v>
      </c>
      <c r="G188" s="7" t="s">
        <v>43</v>
      </c>
      <c r="H188" s="7" t="s">
        <v>20</v>
      </c>
      <c r="I188" s="7" t="s">
        <v>112</v>
      </c>
      <c r="J188" s="6" t="s">
        <v>22</v>
      </c>
      <c r="K188" s="6" t="n">
        <v>10</v>
      </c>
      <c r="L188" s="7" t="s">
        <v>442</v>
      </c>
      <c r="M188" s="6" t="n">
        <v>11</v>
      </c>
      <c r="N188" s="7" t="s">
        <v>24</v>
      </c>
    </row>
    <row r="189" customFormat="false" ht="29.85" hidden="false" customHeight="false" outlineLevel="0" collapsed="false">
      <c r="A189" s="6" t="n">
        <v>188</v>
      </c>
      <c r="B189" s="7" t="s">
        <v>438</v>
      </c>
      <c r="C189" s="7" t="s">
        <v>439</v>
      </c>
      <c r="D189" s="8" t="s">
        <v>461</v>
      </c>
      <c r="E189" s="7" t="s">
        <v>462</v>
      </c>
      <c r="F189" s="6" t="s">
        <v>18</v>
      </c>
      <c r="G189" s="7" t="s">
        <v>43</v>
      </c>
      <c r="H189" s="7" t="s">
        <v>20</v>
      </c>
      <c r="I189" s="7" t="s">
        <v>295</v>
      </c>
      <c r="J189" s="6" t="s">
        <v>22</v>
      </c>
      <c r="K189" s="6" t="n">
        <v>10</v>
      </c>
      <c r="L189" s="7" t="s">
        <v>442</v>
      </c>
      <c r="M189" s="6" t="n">
        <v>12</v>
      </c>
      <c r="N189" s="7" t="s">
        <v>24</v>
      </c>
    </row>
    <row r="190" customFormat="false" ht="29.85" hidden="false" customHeight="false" outlineLevel="0" collapsed="false">
      <c r="A190" s="6" t="n">
        <v>189</v>
      </c>
      <c r="B190" s="7" t="s">
        <v>438</v>
      </c>
      <c r="C190" s="7" t="s">
        <v>439</v>
      </c>
      <c r="D190" s="8" t="s">
        <v>463</v>
      </c>
      <c r="E190" s="7" t="s">
        <v>464</v>
      </c>
      <c r="F190" s="6" t="s">
        <v>18</v>
      </c>
      <c r="G190" s="7" t="s">
        <v>43</v>
      </c>
      <c r="H190" s="7" t="s">
        <v>38</v>
      </c>
      <c r="I190" s="7" t="s">
        <v>309</v>
      </c>
      <c r="J190" s="6" t="s">
        <v>22</v>
      </c>
      <c r="K190" s="6" t="n">
        <v>10</v>
      </c>
      <c r="L190" s="7" t="s">
        <v>442</v>
      </c>
      <c r="M190" s="6" t="n">
        <v>13</v>
      </c>
      <c r="N190" s="7" t="s">
        <v>40</v>
      </c>
    </row>
    <row r="191" customFormat="false" ht="29.85" hidden="false" customHeight="false" outlineLevel="0" collapsed="false">
      <c r="A191" s="6" t="n">
        <v>190</v>
      </c>
      <c r="B191" s="7" t="s">
        <v>438</v>
      </c>
      <c r="C191" s="7" t="s">
        <v>439</v>
      </c>
      <c r="D191" s="8" t="s">
        <v>465</v>
      </c>
      <c r="E191" s="7" t="s">
        <v>466</v>
      </c>
      <c r="F191" s="6" t="s">
        <v>18</v>
      </c>
      <c r="G191" s="7" t="s">
        <v>43</v>
      </c>
      <c r="H191" s="7" t="s">
        <v>38</v>
      </c>
      <c r="I191" s="7" t="s">
        <v>309</v>
      </c>
      <c r="J191" s="6" t="s">
        <v>22</v>
      </c>
      <c r="K191" s="6" t="n">
        <v>10</v>
      </c>
      <c r="L191" s="7" t="s">
        <v>442</v>
      </c>
      <c r="M191" s="6" t="n">
        <v>14</v>
      </c>
      <c r="N191" s="7" t="s">
        <v>40</v>
      </c>
    </row>
    <row r="192" customFormat="false" ht="29.85" hidden="false" customHeight="false" outlineLevel="0" collapsed="false">
      <c r="A192" s="6" t="n">
        <v>191</v>
      </c>
      <c r="B192" s="7" t="s">
        <v>438</v>
      </c>
      <c r="C192" s="7" t="s">
        <v>439</v>
      </c>
      <c r="D192" s="8" t="s">
        <v>467</v>
      </c>
      <c r="E192" s="7" t="s">
        <v>441</v>
      </c>
      <c r="F192" s="6" t="s">
        <v>18</v>
      </c>
      <c r="G192" s="7" t="s">
        <v>43</v>
      </c>
      <c r="H192" s="7" t="s">
        <v>38</v>
      </c>
      <c r="I192" s="7" t="s">
        <v>163</v>
      </c>
      <c r="J192" s="6" t="s">
        <v>22</v>
      </c>
      <c r="K192" s="6" t="n">
        <v>10</v>
      </c>
      <c r="L192" s="7" t="s">
        <v>442</v>
      </c>
      <c r="M192" s="6" t="n">
        <v>15</v>
      </c>
      <c r="N192" s="7" t="s">
        <v>40</v>
      </c>
    </row>
    <row r="193" customFormat="false" ht="29.85" hidden="false" customHeight="false" outlineLevel="0" collapsed="false">
      <c r="A193" s="6" t="n">
        <v>192</v>
      </c>
      <c r="B193" s="7" t="s">
        <v>438</v>
      </c>
      <c r="C193" s="7" t="s">
        <v>439</v>
      </c>
      <c r="D193" s="8" t="s">
        <v>468</v>
      </c>
      <c r="E193" s="7" t="s">
        <v>466</v>
      </c>
      <c r="F193" s="6" t="s">
        <v>18</v>
      </c>
      <c r="G193" s="7" t="s">
        <v>43</v>
      </c>
      <c r="H193" s="7" t="s">
        <v>38</v>
      </c>
      <c r="I193" s="7" t="s">
        <v>123</v>
      </c>
      <c r="J193" s="6" t="s">
        <v>22</v>
      </c>
      <c r="K193" s="6" t="n">
        <v>10</v>
      </c>
      <c r="L193" s="7" t="s">
        <v>442</v>
      </c>
      <c r="M193" s="6" t="n">
        <v>16</v>
      </c>
      <c r="N193" s="7" t="s">
        <v>40</v>
      </c>
    </row>
    <row r="194" customFormat="false" ht="29.85" hidden="false" customHeight="false" outlineLevel="0" collapsed="false">
      <c r="A194" s="6" t="n">
        <v>193</v>
      </c>
      <c r="B194" s="7" t="s">
        <v>438</v>
      </c>
      <c r="C194" s="7" t="s">
        <v>439</v>
      </c>
      <c r="D194" s="8" t="s">
        <v>469</v>
      </c>
      <c r="E194" s="7" t="s">
        <v>446</v>
      </c>
      <c r="F194" s="6" t="s">
        <v>18</v>
      </c>
      <c r="G194" s="7" t="s">
        <v>43</v>
      </c>
      <c r="H194" s="7" t="s">
        <v>38</v>
      </c>
      <c r="I194" s="7" t="s">
        <v>470</v>
      </c>
      <c r="J194" s="6" t="s">
        <v>22</v>
      </c>
      <c r="K194" s="6" t="n">
        <v>10</v>
      </c>
      <c r="L194" s="7" t="s">
        <v>442</v>
      </c>
      <c r="M194" s="6" t="n">
        <v>17</v>
      </c>
      <c r="N194" s="7" t="s">
        <v>40</v>
      </c>
    </row>
    <row r="195" customFormat="false" ht="29.85" hidden="false" customHeight="false" outlineLevel="0" collapsed="false">
      <c r="A195" s="6" t="n">
        <v>194</v>
      </c>
      <c r="B195" s="7" t="s">
        <v>438</v>
      </c>
      <c r="C195" s="7" t="s">
        <v>439</v>
      </c>
      <c r="D195" s="8" t="s">
        <v>471</v>
      </c>
      <c r="E195" s="7" t="s">
        <v>448</v>
      </c>
      <c r="F195" s="6" t="s">
        <v>18</v>
      </c>
      <c r="G195" s="7" t="s">
        <v>43</v>
      </c>
      <c r="H195" s="7" t="s">
        <v>38</v>
      </c>
      <c r="I195" s="7" t="s">
        <v>472</v>
      </c>
      <c r="J195" s="6" t="s">
        <v>22</v>
      </c>
      <c r="K195" s="6" t="n">
        <v>10</v>
      </c>
      <c r="L195" s="7" t="s">
        <v>442</v>
      </c>
      <c r="M195" s="6" t="n">
        <v>18</v>
      </c>
      <c r="N195" s="7" t="s">
        <v>40</v>
      </c>
    </row>
    <row r="196" customFormat="false" ht="15" hidden="false" customHeight="false" outlineLevel="0" collapsed="false">
      <c r="A196" s="3" t="n">
        <v>195</v>
      </c>
      <c r="B196" s="4" t="s">
        <v>438</v>
      </c>
      <c r="C196" s="4" t="s">
        <v>473</v>
      </c>
      <c r="D196" s="5" t="s">
        <v>474</v>
      </c>
      <c r="E196" s="4" t="s">
        <v>475</v>
      </c>
      <c r="F196" s="3" t="s">
        <v>476</v>
      </c>
      <c r="G196" s="4" t="s">
        <v>19</v>
      </c>
      <c r="H196" s="4" t="s">
        <v>20</v>
      </c>
      <c r="I196" s="4" t="s">
        <v>44</v>
      </c>
      <c r="J196" s="6" t="s">
        <v>22</v>
      </c>
      <c r="K196" s="6" t="n">
        <v>11</v>
      </c>
      <c r="L196" s="7" t="s">
        <v>477</v>
      </c>
      <c r="M196" s="6" t="n">
        <v>1</v>
      </c>
      <c r="N196" s="7" t="s">
        <v>24</v>
      </c>
    </row>
    <row r="197" customFormat="false" ht="15" hidden="false" customHeight="false" outlineLevel="0" collapsed="false">
      <c r="A197" s="6" t="n">
        <v>196</v>
      </c>
      <c r="B197" s="7" t="s">
        <v>438</v>
      </c>
      <c r="C197" s="7" t="s">
        <v>473</v>
      </c>
      <c r="D197" s="8" t="s">
        <v>478</v>
      </c>
      <c r="E197" s="7" t="s">
        <v>288</v>
      </c>
      <c r="F197" s="6" t="s">
        <v>18</v>
      </c>
      <c r="G197" s="7" t="s">
        <v>43</v>
      </c>
      <c r="H197" s="7" t="s">
        <v>20</v>
      </c>
      <c r="I197" s="7" t="s">
        <v>46</v>
      </c>
      <c r="J197" s="6" t="s">
        <v>22</v>
      </c>
      <c r="K197" s="6" t="n">
        <v>11</v>
      </c>
      <c r="L197" s="7" t="s">
        <v>477</v>
      </c>
      <c r="M197" s="6" t="n">
        <v>2</v>
      </c>
      <c r="N197" s="7" t="s">
        <v>24</v>
      </c>
    </row>
    <row r="198" customFormat="false" ht="29.85" hidden="false" customHeight="false" outlineLevel="0" collapsed="false">
      <c r="A198" s="3" t="n">
        <v>197</v>
      </c>
      <c r="B198" s="4" t="s">
        <v>438</v>
      </c>
      <c r="C198" s="4" t="s">
        <v>473</v>
      </c>
      <c r="D198" s="5" t="s">
        <v>479</v>
      </c>
      <c r="E198" s="4" t="s">
        <v>480</v>
      </c>
      <c r="F198" s="3" t="s">
        <v>476</v>
      </c>
      <c r="G198" s="4" t="s">
        <v>19</v>
      </c>
      <c r="H198" s="4" t="s">
        <v>20</v>
      </c>
      <c r="I198" s="4" t="s">
        <v>254</v>
      </c>
      <c r="J198" s="6" t="s">
        <v>22</v>
      </c>
      <c r="K198" s="6" t="n">
        <v>11</v>
      </c>
      <c r="L198" s="7" t="s">
        <v>477</v>
      </c>
      <c r="M198" s="6" t="n">
        <v>3</v>
      </c>
      <c r="N198" s="7" t="s">
        <v>24</v>
      </c>
    </row>
    <row r="199" customFormat="false" ht="29.85" hidden="false" customHeight="false" outlineLevel="0" collapsed="false">
      <c r="A199" s="6" t="n">
        <v>198</v>
      </c>
      <c r="B199" s="7" t="s">
        <v>438</v>
      </c>
      <c r="C199" s="7" t="s">
        <v>473</v>
      </c>
      <c r="D199" s="8" t="s">
        <v>481</v>
      </c>
      <c r="E199" s="7" t="s">
        <v>482</v>
      </c>
      <c r="F199" s="6" t="s">
        <v>18</v>
      </c>
      <c r="G199" s="7" t="s">
        <v>43</v>
      </c>
      <c r="H199" s="7" t="s">
        <v>20</v>
      </c>
      <c r="I199" s="7" t="s">
        <v>91</v>
      </c>
      <c r="J199" s="6" t="s">
        <v>22</v>
      </c>
      <c r="K199" s="6" t="n">
        <v>11</v>
      </c>
      <c r="L199" s="7" t="s">
        <v>477</v>
      </c>
      <c r="M199" s="6" t="n">
        <v>4</v>
      </c>
      <c r="N199" s="7" t="s">
        <v>24</v>
      </c>
    </row>
    <row r="200" customFormat="false" ht="15" hidden="false" customHeight="false" outlineLevel="0" collapsed="false">
      <c r="A200" s="6" t="n">
        <v>199</v>
      </c>
      <c r="B200" s="7" t="s">
        <v>438</v>
      </c>
      <c r="C200" s="7" t="s">
        <v>473</v>
      </c>
      <c r="D200" s="8" t="s">
        <v>483</v>
      </c>
      <c r="E200" s="7" t="s">
        <v>484</v>
      </c>
      <c r="F200" s="6" t="s">
        <v>37</v>
      </c>
      <c r="G200" s="7" t="s">
        <v>27</v>
      </c>
      <c r="H200" s="7" t="s">
        <v>38</v>
      </c>
      <c r="I200" s="7" t="s">
        <v>351</v>
      </c>
      <c r="J200" s="6" t="s">
        <v>22</v>
      </c>
      <c r="K200" s="6" t="n">
        <v>11</v>
      </c>
      <c r="L200" s="7" t="s">
        <v>477</v>
      </c>
      <c r="M200" s="6" t="n">
        <v>5</v>
      </c>
      <c r="N200" s="7" t="s">
        <v>40</v>
      </c>
    </row>
    <row r="201" customFormat="false" ht="29.85" hidden="false" customHeight="false" outlineLevel="0" collapsed="false">
      <c r="A201" s="6" t="n">
        <v>200</v>
      </c>
      <c r="B201" s="7" t="s">
        <v>438</v>
      </c>
      <c r="C201" s="7" t="s">
        <v>473</v>
      </c>
      <c r="D201" s="8" t="s">
        <v>485</v>
      </c>
      <c r="E201" s="7" t="s">
        <v>486</v>
      </c>
      <c r="F201" s="6" t="s">
        <v>18</v>
      </c>
      <c r="G201" s="7" t="s">
        <v>43</v>
      </c>
      <c r="H201" s="7" t="s">
        <v>20</v>
      </c>
      <c r="I201" s="7" t="s">
        <v>91</v>
      </c>
      <c r="J201" s="6" t="s">
        <v>22</v>
      </c>
      <c r="K201" s="6" t="n">
        <v>11</v>
      </c>
      <c r="L201" s="7" t="s">
        <v>477</v>
      </c>
      <c r="M201" s="6" t="n">
        <v>6</v>
      </c>
      <c r="N201" s="7" t="s">
        <v>24</v>
      </c>
    </row>
    <row r="202" customFormat="false" ht="29.85" hidden="false" customHeight="false" outlineLevel="0" collapsed="false">
      <c r="A202" s="3" t="n">
        <v>201</v>
      </c>
      <c r="B202" s="4" t="s">
        <v>438</v>
      </c>
      <c r="C202" s="4" t="s">
        <v>473</v>
      </c>
      <c r="D202" s="5" t="s">
        <v>487</v>
      </c>
      <c r="E202" s="4" t="s">
        <v>475</v>
      </c>
      <c r="F202" s="3" t="s">
        <v>476</v>
      </c>
      <c r="G202" s="4" t="s">
        <v>19</v>
      </c>
      <c r="H202" s="4" t="s">
        <v>20</v>
      </c>
      <c r="I202" s="4" t="s">
        <v>98</v>
      </c>
      <c r="J202" s="6" t="s">
        <v>22</v>
      </c>
      <c r="K202" s="6" t="n">
        <v>11</v>
      </c>
      <c r="L202" s="7" t="s">
        <v>477</v>
      </c>
      <c r="M202" s="6" t="n">
        <v>7</v>
      </c>
      <c r="N202" s="7" t="s">
        <v>24</v>
      </c>
    </row>
    <row r="203" customFormat="false" ht="29.85" hidden="false" customHeight="false" outlineLevel="0" collapsed="false">
      <c r="A203" s="3" t="n">
        <v>202</v>
      </c>
      <c r="B203" s="4" t="s">
        <v>438</v>
      </c>
      <c r="C203" s="4" t="s">
        <v>473</v>
      </c>
      <c r="D203" s="5" t="s">
        <v>488</v>
      </c>
      <c r="E203" s="4" t="s">
        <v>489</v>
      </c>
      <c r="F203" s="3" t="s">
        <v>476</v>
      </c>
      <c r="G203" s="4" t="s">
        <v>19</v>
      </c>
      <c r="H203" s="4" t="s">
        <v>20</v>
      </c>
      <c r="I203" s="4" t="s">
        <v>51</v>
      </c>
      <c r="J203" s="6" t="s">
        <v>22</v>
      </c>
      <c r="K203" s="6" t="n">
        <v>11</v>
      </c>
      <c r="L203" s="7" t="s">
        <v>477</v>
      </c>
      <c r="M203" s="6" t="n">
        <v>8</v>
      </c>
      <c r="N203" s="7" t="s">
        <v>24</v>
      </c>
    </row>
    <row r="204" customFormat="false" ht="29.85" hidden="false" customHeight="false" outlineLevel="0" collapsed="false">
      <c r="A204" s="6" t="n">
        <v>203</v>
      </c>
      <c r="B204" s="7" t="s">
        <v>438</v>
      </c>
      <c r="C204" s="7" t="s">
        <v>473</v>
      </c>
      <c r="D204" s="8" t="s">
        <v>490</v>
      </c>
      <c r="E204" s="7" t="s">
        <v>231</v>
      </c>
      <c r="F204" s="6" t="s">
        <v>18</v>
      </c>
      <c r="G204" s="7" t="s">
        <v>43</v>
      </c>
      <c r="H204" s="7" t="s">
        <v>20</v>
      </c>
      <c r="I204" s="7" t="s">
        <v>295</v>
      </c>
      <c r="J204" s="6" t="s">
        <v>22</v>
      </c>
      <c r="K204" s="6" t="n">
        <v>11</v>
      </c>
      <c r="L204" s="7" t="s">
        <v>477</v>
      </c>
      <c r="M204" s="6" t="n">
        <v>9</v>
      </c>
      <c r="N204" s="7" t="s">
        <v>24</v>
      </c>
    </row>
    <row r="205" customFormat="false" ht="29.85" hidden="false" customHeight="false" outlineLevel="0" collapsed="false">
      <c r="A205" s="6" t="n">
        <v>204</v>
      </c>
      <c r="B205" s="7" t="s">
        <v>438</v>
      </c>
      <c r="C205" s="7" t="s">
        <v>473</v>
      </c>
      <c r="D205" s="8" t="s">
        <v>491</v>
      </c>
      <c r="E205" s="7" t="s">
        <v>492</v>
      </c>
      <c r="F205" s="6" t="s">
        <v>82</v>
      </c>
      <c r="G205" s="7" t="s">
        <v>27</v>
      </c>
      <c r="H205" s="7" t="s">
        <v>38</v>
      </c>
      <c r="I205" s="7" t="s">
        <v>493</v>
      </c>
      <c r="J205" s="6" t="s">
        <v>22</v>
      </c>
      <c r="K205" s="6" t="n">
        <v>11</v>
      </c>
      <c r="L205" s="7" t="s">
        <v>477</v>
      </c>
      <c r="M205" s="6" t="n">
        <v>10</v>
      </c>
      <c r="N205" s="7" t="s">
        <v>40</v>
      </c>
    </row>
    <row r="206" customFormat="false" ht="29.85" hidden="false" customHeight="false" outlineLevel="0" collapsed="false">
      <c r="A206" s="6" t="n">
        <v>205</v>
      </c>
      <c r="B206" s="7" t="s">
        <v>438</v>
      </c>
      <c r="C206" s="7" t="s">
        <v>473</v>
      </c>
      <c r="D206" s="8" t="s">
        <v>494</v>
      </c>
      <c r="E206" s="7" t="s">
        <v>495</v>
      </c>
      <c r="F206" s="6" t="s">
        <v>18</v>
      </c>
      <c r="G206" s="7" t="s">
        <v>43</v>
      </c>
      <c r="H206" s="7" t="s">
        <v>38</v>
      </c>
      <c r="I206" s="7" t="s">
        <v>496</v>
      </c>
      <c r="J206" s="6" t="s">
        <v>22</v>
      </c>
      <c r="K206" s="6" t="n">
        <v>11</v>
      </c>
      <c r="L206" s="7" t="s">
        <v>477</v>
      </c>
      <c r="M206" s="6" t="n">
        <v>11</v>
      </c>
      <c r="N206" s="7" t="s">
        <v>40</v>
      </c>
    </row>
    <row r="207" customFormat="false" ht="29.85" hidden="false" customHeight="false" outlineLevel="0" collapsed="false">
      <c r="A207" s="6" t="n">
        <v>206</v>
      </c>
      <c r="B207" s="7" t="s">
        <v>438</v>
      </c>
      <c r="C207" s="7" t="s">
        <v>473</v>
      </c>
      <c r="D207" s="8" t="s">
        <v>497</v>
      </c>
      <c r="E207" s="7" t="s">
        <v>498</v>
      </c>
      <c r="F207" s="6" t="s">
        <v>18</v>
      </c>
      <c r="G207" s="7" t="s">
        <v>43</v>
      </c>
      <c r="H207" s="7" t="s">
        <v>38</v>
      </c>
      <c r="I207" s="7" t="s">
        <v>499</v>
      </c>
      <c r="J207" s="6" t="s">
        <v>22</v>
      </c>
      <c r="K207" s="6" t="n">
        <v>11</v>
      </c>
      <c r="L207" s="7" t="s">
        <v>477</v>
      </c>
      <c r="M207" s="6" t="n">
        <v>12</v>
      </c>
      <c r="N207" s="7" t="s">
        <v>40</v>
      </c>
    </row>
    <row r="208" customFormat="false" ht="29.85" hidden="false" customHeight="false" outlineLevel="0" collapsed="false">
      <c r="A208" s="6" t="n">
        <v>207</v>
      </c>
      <c r="B208" s="7" t="s">
        <v>438</v>
      </c>
      <c r="C208" s="7" t="s">
        <v>473</v>
      </c>
      <c r="D208" s="9" t="s">
        <v>500</v>
      </c>
      <c r="E208" s="6" t="s">
        <v>501</v>
      </c>
      <c r="F208" s="6" t="s">
        <v>378</v>
      </c>
      <c r="G208" s="7" t="s">
        <v>27</v>
      </c>
      <c r="H208" s="7" t="s">
        <v>38</v>
      </c>
      <c r="I208" s="7" t="s">
        <v>502</v>
      </c>
      <c r="J208" s="6" t="s">
        <v>22</v>
      </c>
      <c r="K208" s="6" t="n">
        <v>11</v>
      </c>
      <c r="L208" s="7" t="s">
        <v>477</v>
      </c>
      <c r="M208" s="6" t="n">
        <v>13</v>
      </c>
      <c r="N208" s="7" t="s">
        <v>40</v>
      </c>
    </row>
    <row r="209" customFormat="false" ht="29.85" hidden="false" customHeight="false" outlineLevel="0" collapsed="false">
      <c r="A209" s="6" t="n">
        <v>208</v>
      </c>
      <c r="B209" s="7" t="s">
        <v>438</v>
      </c>
      <c r="C209" s="7" t="s">
        <v>473</v>
      </c>
      <c r="D209" s="9" t="s">
        <v>503</v>
      </c>
      <c r="E209" s="7" t="s">
        <v>504</v>
      </c>
      <c r="F209" s="6" t="s">
        <v>214</v>
      </c>
      <c r="G209" s="7" t="s">
        <v>43</v>
      </c>
      <c r="H209" s="7" t="s">
        <v>38</v>
      </c>
      <c r="I209" s="7" t="s">
        <v>505</v>
      </c>
      <c r="J209" s="6" t="s">
        <v>22</v>
      </c>
      <c r="K209" s="6" t="n">
        <v>11</v>
      </c>
      <c r="L209" s="7" t="s">
        <v>477</v>
      </c>
      <c r="M209" s="6" t="n">
        <v>14</v>
      </c>
      <c r="N209" s="7" t="s">
        <v>40</v>
      </c>
    </row>
    <row r="210" customFormat="false" ht="29.85" hidden="false" customHeight="false" outlineLevel="0" collapsed="false">
      <c r="A210" s="6" t="n">
        <v>209</v>
      </c>
      <c r="B210" s="7" t="s">
        <v>438</v>
      </c>
      <c r="C210" s="7" t="s">
        <v>473</v>
      </c>
      <c r="D210" s="8" t="s">
        <v>506</v>
      </c>
      <c r="E210" s="7" t="s">
        <v>507</v>
      </c>
      <c r="F210" s="6" t="s">
        <v>18</v>
      </c>
      <c r="G210" s="7" t="s">
        <v>43</v>
      </c>
      <c r="H210" s="7" t="s">
        <v>38</v>
      </c>
      <c r="I210" s="7" t="s">
        <v>53</v>
      </c>
      <c r="J210" s="6" t="s">
        <v>22</v>
      </c>
      <c r="K210" s="6" t="n">
        <v>11</v>
      </c>
      <c r="L210" s="7" t="s">
        <v>477</v>
      </c>
      <c r="M210" s="6" t="n">
        <v>15</v>
      </c>
      <c r="N210" s="7" t="s">
        <v>40</v>
      </c>
    </row>
    <row r="211" customFormat="false" ht="29.85" hidden="false" customHeight="false" outlineLevel="0" collapsed="false">
      <c r="A211" s="6" t="n">
        <v>210</v>
      </c>
      <c r="B211" s="7" t="s">
        <v>438</v>
      </c>
      <c r="C211" s="7" t="s">
        <v>473</v>
      </c>
      <c r="D211" s="8" t="s">
        <v>508</v>
      </c>
      <c r="E211" s="7" t="s">
        <v>509</v>
      </c>
      <c r="F211" s="6" t="s">
        <v>18</v>
      </c>
      <c r="G211" s="7" t="s">
        <v>43</v>
      </c>
      <c r="H211" s="7" t="s">
        <v>38</v>
      </c>
      <c r="I211" s="7" t="s">
        <v>53</v>
      </c>
      <c r="J211" s="6" t="s">
        <v>22</v>
      </c>
      <c r="K211" s="6" t="n">
        <v>11</v>
      </c>
      <c r="L211" s="7" t="s">
        <v>477</v>
      </c>
      <c r="M211" s="6" t="n">
        <v>16</v>
      </c>
      <c r="N211" s="7" t="s">
        <v>40</v>
      </c>
    </row>
    <row r="212" customFormat="false" ht="29.85" hidden="false" customHeight="false" outlineLevel="0" collapsed="false">
      <c r="A212" s="3" t="n">
        <v>211</v>
      </c>
      <c r="B212" s="4" t="s">
        <v>438</v>
      </c>
      <c r="C212" s="4" t="s">
        <v>473</v>
      </c>
      <c r="D212" s="5" t="s">
        <v>510</v>
      </c>
      <c r="E212" s="4" t="s">
        <v>511</v>
      </c>
      <c r="F212" s="3" t="s">
        <v>476</v>
      </c>
      <c r="G212" s="4" t="s">
        <v>19</v>
      </c>
      <c r="H212" s="4" t="s">
        <v>38</v>
      </c>
      <c r="I212" s="4" t="s">
        <v>512</v>
      </c>
      <c r="J212" s="6" t="s">
        <v>22</v>
      </c>
      <c r="K212" s="6" t="n">
        <v>11</v>
      </c>
      <c r="L212" s="7" t="s">
        <v>477</v>
      </c>
      <c r="M212" s="6" t="n">
        <v>17</v>
      </c>
      <c r="N212" s="7" t="s">
        <v>40</v>
      </c>
    </row>
    <row r="213" customFormat="false" ht="29.85" hidden="false" customHeight="false" outlineLevel="0" collapsed="false">
      <c r="A213" s="6" t="n">
        <v>212</v>
      </c>
      <c r="B213" s="7" t="s">
        <v>438</v>
      </c>
      <c r="C213" s="7" t="s">
        <v>473</v>
      </c>
      <c r="D213" s="8" t="s">
        <v>513</v>
      </c>
      <c r="E213" s="7" t="s">
        <v>514</v>
      </c>
      <c r="F213" s="6" t="s">
        <v>18</v>
      </c>
      <c r="G213" s="7" t="s">
        <v>43</v>
      </c>
      <c r="H213" s="7" t="s">
        <v>38</v>
      </c>
      <c r="I213" s="7" t="s">
        <v>309</v>
      </c>
      <c r="J213" s="6" t="s">
        <v>22</v>
      </c>
      <c r="K213" s="6" t="n">
        <v>11</v>
      </c>
      <c r="L213" s="7" t="s">
        <v>477</v>
      </c>
      <c r="M213" s="6" t="n">
        <v>18</v>
      </c>
      <c r="N213" s="7" t="s">
        <v>40</v>
      </c>
    </row>
    <row r="214" customFormat="false" ht="29.85" hidden="false" customHeight="false" outlineLevel="0" collapsed="false">
      <c r="A214" s="6" t="n">
        <v>213</v>
      </c>
      <c r="B214" s="7" t="s">
        <v>438</v>
      </c>
      <c r="C214" s="7" t="s">
        <v>473</v>
      </c>
      <c r="D214" s="8" t="s">
        <v>515</v>
      </c>
      <c r="E214" s="7" t="s">
        <v>516</v>
      </c>
      <c r="F214" s="6" t="s">
        <v>18</v>
      </c>
      <c r="G214" s="7" t="s">
        <v>43</v>
      </c>
      <c r="H214" s="7" t="s">
        <v>38</v>
      </c>
      <c r="I214" s="7" t="s">
        <v>472</v>
      </c>
      <c r="J214" s="6" t="s">
        <v>22</v>
      </c>
      <c r="K214" s="6" t="n">
        <v>11</v>
      </c>
      <c r="L214" s="7" t="s">
        <v>477</v>
      </c>
      <c r="M214" s="6" t="n">
        <v>19</v>
      </c>
      <c r="N214" s="7" t="s">
        <v>40</v>
      </c>
    </row>
    <row r="215" customFormat="false" ht="44" hidden="false" customHeight="false" outlineLevel="0" collapsed="false">
      <c r="A215" s="6" t="n">
        <v>214</v>
      </c>
      <c r="B215" s="7" t="s">
        <v>438</v>
      </c>
      <c r="C215" s="7" t="s">
        <v>473</v>
      </c>
      <c r="D215" s="8" t="s">
        <v>517</v>
      </c>
      <c r="E215" s="7" t="s">
        <v>518</v>
      </c>
      <c r="F215" s="6" t="s">
        <v>18</v>
      </c>
      <c r="G215" s="7" t="s">
        <v>43</v>
      </c>
      <c r="H215" s="7" t="s">
        <v>38</v>
      </c>
      <c r="I215" s="7" t="s">
        <v>387</v>
      </c>
      <c r="J215" s="6" t="s">
        <v>22</v>
      </c>
      <c r="K215" s="6" t="n">
        <v>11</v>
      </c>
      <c r="L215" s="7" t="s">
        <v>477</v>
      </c>
      <c r="M215" s="6" t="n">
        <v>20</v>
      </c>
      <c r="N215" s="7" t="s">
        <v>40</v>
      </c>
    </row>
    <row r="216" customFormat="false" ht="29.85" hidden="false" customHeight="false" outlineLevel="0" collapsed="false">
      <c r="A216" s="6" t="n">
        <v>215</v>
      </c>
      <c r="B216" s="7" t="s">
        <v>438</v>
      </c>
      <c r="C216" s="7" t="s">
        <v>473</v>
      </c>
      <c r="D216" s="8" t="s">
        <v>519</v>
      </c>
      <c r="E216" s="7" t="s">
        <v>520</v>
      </c>
      <c r="F216" s="6" t="s">
        <v>18</v>
      </c>
      <c r="G216" s="7" t="s">
        <v>43</v>
      </c>
      <c r="H216" s="10" t="s">
        <v>389</v>
      </c>
      <c r="I216" s="7" t="s">
        <v>521</v>
      </c>
      <c r="J216" s="6" t="s">
        <v>22</v>
      </c>
      <c r="K216" s="6" t="n">
        <v>11</v>
      </c>
      <c r="L216" s="7" t="s">
        <v>477</v>
      </c>
      <c r="M216" s="6" t="n">
        <v>21</v>
      </c>
      <c r="N216" s="7" t="s">
        <v>40</v>
      </c>
    </row>
    <row r="217" customFormat="false" ht="15" hidden="false" customHeight="false" outlineLevel="0" collapsed="false">
      <c r="A217" s="6" t="n">
        <v>216</v>
      </c>
      <c r="B217" s="7" t="s">
        <v>522</v>
      </c>
      <c r="C217" s="7" t="s">
        <v>523</v>
      </c>
      <c r="D217" s="8" t="s">
        <v>524</v>
      </c>
      <c r="E217" s="7" t="s">
        <v>525</v>
      </c>
      <c r="F217" s="6" t="s">
        <v>526</v>
      </c>
      <c r="G217" s="7" t="s">
        <v>43</v>
      </c>
      <c r="H217" s="7" t="s">
        <v>20</v>
      </c>
      <c r="I217" s="7" t="s">
        <v>527</v>
      </c>
      <c r="J217" s="6" t="s">
        <v>528</v>
      </c>
      <c r="K217" s="6" t="n">
        <v>1</v>
      </c>
      <c r="L217" s="7" t="s">
        <v>529</v>
      </c>
      <c r="M217" s="6" t="n">
        <v>1</v>
      </c>
      <c r="N217" s="7" t="s">
        <v>24</v>
      </c>
    </row>
    <row r="218" customFormat="false" ht="15" hidden="false" customHeight="false" outlineLevel="0" collapsed="false">
      <c r="A218" s="6" t="n">
        <v>217</v>
      </c>
      <c r="B218" s="7" t="s">
        <v>522</v>
      </c>
      <c r="C218" s="7" t="s">
        <v>523</v>
      </c>
      <c r="D218" s="8" t="s">
        <v>530</v>
      </c>
      <c r="E218" s="7" t="s">
        <v>531</v>
      </c>
      <c r="F218" s="6" t="s">
        <v>526</v>
      </c>
      <c r="G218" s="7" t="s">
        <v>43</v>
      </c>
      <c r="H218" s="7" t="s">
        <v>20</v>
      </c>
      <c r="I218" s="7" t="s">
        <v>532</v>
      </c>
      <c r="J218" s="6" t="s">
        <v>528</v>
      </c>
      <c r="K218" s="6" t="n">
        <v>1</v>
      </c>
      <c r="L218" s="7" t="s">
        <v>529</v>
      </c>
      <c r="M218" s="6" t="n">
        <v>2</v>
      </c>
      <c r="N218" s="7" t="s">
        <v>24</v>
      </c>
    </row>
    <row r="219" customFormat="false" ht="15" hidden="false" customHeight="false" outlineLevel="0" collapsed="false">
      <c r="A219" s="6" t="n">
        <v>218</v>
      </c>
      <c r="B219" s="7" t="s">
        <v>522</v>
      </c>
      <c r="C219" s="7" t="s">
        <v>523</v>
      </c>
      <c r="D219" s="8" t="s">
        <v>533</v>
      </c>
      <c r="E219" s="7" t="s">
        <v>531</v>
      </c>
      <c r="F219" s="6" t="s">
        <v>526</v>
      </c>
      <c r="G219" s="7" t="s">
        <v>43</v>
      </c>
      <c r="H219" s="7" t="s">
        <v>20</v>
      </c>
      <c r="I219" s="7" t="s">
        <v>532</v>
      </c>
      <c r="J219" s="6" t="s">
        <v>528</v>
      </c>
      <c r="K219" s="6" t="n">
        <v>1</v>
      </c>
      <c r="L219" s="7" t="s">
        <v>529</v>
      </c>
      <c r="M219" s="6" t="n">
        <v>3</v>
      </c>
      <c r="N219" s="7" t="s">
        <v>24</v>
      </c>
    </row>
    <row r="220" customFormat="false" ht="15" hidden="false" customHeight="false" outlineLevel="0" collapsed="false">
      <c r="A220" s="6" t="n">
        <v>219</v>
      </c>
      <c r="B220" s="7" t="s">
        <v>522</v>
      </c>
      <c r="C220" s="7" t="s">
        <v>523</v>
      </c>
      <c r="D220" s="8" t="s">
        <v>534</v>
      </c>
      <c r="E220" s="7" t="s">
        <v>535</v>
      </c>
      <c r="F220" s="6" t="s">
        <v>526</v>
      </c>
      <c r="G220" s="7" t="s">
        <v>43</v>
      </c>
      <c r="H220" s="7" t="s">
        <v>20</v>
      </c>
      <c r="I220" s="7" t="s">
        <v>532</v>
      </c>
      <c r="J220" s="6" t="s">
        <v>528</v>
      </c>
      <c r="K220" s="6" t="n">
        <v>1</v>
      </c>
      <c r="L220" s="7" t="s">
        <v>529</v>
      </c>
      <c r="M220" s="6" t="n">
        <v>4</v>
      </c>
      <c r="N220" s="7" t="s">
        <v>24</v>
      </c>
    </row>
    <row r="221" customFormat="false" ht="15" hidden="false" customHeight="false" outlineLevel="0" collapsed="false">
      <c r="A221" s="6" t="n">
        <v>220</v>
      </c>
      <c r="B221" s="7" t="s">
        <v>522</v>
      </c>
      <c r="C221" s="7" t="s">
        <v>523</v>
      </c>
      <c r="D221" s="8" t="s">
        <v>536</v>
      </c>
      <c r="E221" s="6" t="s">
        <v>537</v>
      </c>
      <c r="F221" s="6" t="s">
        <v>378</v>
      </c>
      <c r="G221" s="7" t="s">
        <v>27</v>
      </c>
      <c r="H221" s="7" t="s">
        <v>38</v>
      </c>
      <c r="I221" s="7" t="s">
        <v>108</v>
      </c>
      <c r="J221" s="6" t="s">
        <v>528</v>
      </c>
      <c r="K221" s="6" t="n">
        <v>1</v>
      </c>
      <c r="L221" s="7" t="s">
        <v>529</v>
      </c>
      <c r="M221" s="6" t="n">
        <v>5</v>
      </c>
      <c r="N221" s="7" t="s">
        <v>40</v>
      </c>
    </row>
    <row r="222" customFormat="false" ht="15" hidden="false" customHeight="false" outlineLevel="0" collapsed="false">
      <c r="A222" s="6" t="n">
        <v>221</v>
      </c>
      <c r="B222" s="7" t="s">
        <v>522</v>
      </c>
      <c r="C222" s="7" t="s">
        <v>523</v>
      </c>
      <c r="D222" s="8" t="s">
        <v>538</v>
      </c>
      <c r="E222" s="7" t="s">
        <v>539</v>
      </c>
      <c r="F222" s="6" t="s">
        <v>526</v>
      </c>
      <c r="G222" s="7" t="s">
        <v>43</v>
      </c>
      <c r="H222" s="7" t="s">
        <v>20</v>
      </c>
      <c r="I222" s="7" t="s">
        <v>540</v>
      </c>
      <c r="J222" s="6" t="s">
        <v>528</v>
      </c>
      <c r="K222" s="6" t="n">
        <v>1</v>
      </c>
      <c r="L222" s="7" t="s">
        <v>529</v>
      </c>
      <c r="M222" s="6" t="n">
        <v>6</v>
      </c>
      <c r="N222" s="7" t="s">
        <v>24</v>
      </c>
    </row>
    <row r="223" customFormat="false" ht="15" hidden="false" customHeight="false" outlineLevel="0" collapsed="false">
      <c r="A223" s="6" t="n">
        <v>222</v>
      </c>
      <c r="B223" s="7" t="s">
        <v>522</v>
      </c>
      <c r="C223" s="7" t="s">
        <v>523</v>
      </c>
      <c r="D223" s="8" t="s">
        <v>541</v>
      </c>
      <c r="E223" s="7" t="s">
        <v>542</v>
      </c>
      <c r="F223" s="6" t="s">
        <v>526</v>
      </c>
      <c r="G223" s="7" t="s">
        <v>43</v>
      </c>
      <c r="H223" s="7" t="s">
        <v>20</v>
      </c>
      <c r="I223" s="7" t="s">
        <v>540</v>
      </c>
      <c r="J223" s="6" t="s">
        <v>528</v>
      </c>
      <c r="K223" s="6" t="n">
        <v>1</v>
      </c>
      <c r="L223" s="7" t="s">
        <v>529</v>
      </c>
      <c r="M223" s="6" t="n">
        <v>7</v>
      </c>
      <c r="N223" s="7" t="s">
        <v>24</v>
      </c>
    </row>
    <row r="224" customFormat="false" ht="15" hidden="false" customHeight="false" outlineLevel="0" collapsed="false">
      <c r="A224" s="6" t="n">
        <v>223</v>
      </c>
      <c r="B224" s="7" t="s">
        <v>522</v>
      </c>
      <c r="C224" s="7" t="s">
        <v>523</v>
      </c>
      <c r="D224" s="8" t="s">
        <v>543</v>
      </c>
      <c r="E224" s="7" t="s">
        <v>544</v>
      </c>
      <c r="F224" s="6" t="s">
        <v>526</v>
      </c>
      <c r="G224" s="7" t="s">
        <v>43</v>
      </c>
      <c r="H224" s="7" t="s">
        <v>20</v>
      </c>
      <c r="I224" s="7" t="s">
        <v>540</v>
      </c>
      <c r="J224" s="6" t="s">
        <v>528</v>
      </c>
      <c r="K224" s="6" t="n">
        <v>1</v>
      </c>
      <c r="L224" s="7" t="s">
        <v>529</v>
      </c>
      <c r="M224" s="6" t="n">
        <v>8</v>
      </c>
      <c r="N224" s="7" t="s">
        <v>24</v>
      </c>
    </row>
    <row r="225" customFormat="false" ht="15" hidden="false" customHeight="false" outlineLevel="0" collapsed="false">
      <c r="A225" s="6" t="n">
        <v>224</v>
      </c>
      <c r="B225" s="7" t="s">
        <v>522</v>
      </c>
      <c r="C225" s="7" t="s">
        <v>523</v>
      </c>
      <c r="D225" s="8" t="s">
        <v>545</v>
      </c>
      <c r="E225" s="7" t="s">
        <v>546</v>
      </c>
      <c r="F225" s="6" t="s">
        <v>526</v>
      </c>
      <c r="G225" s="7" t="s">
        <v>43</v>
      </c>
      <c r="H225" s="7" t="s">
        <v>20</v>
      </c>
      <c r="I225" s="7" t="s">
        <v>540</v>
      </c>
      <c r="J225" s="6" t="s">
        <v>528</v>
      </c>
      <c r="K225" s="6" t="n">
        <v>1</v>
      </c>
      <c r="L225" s="7" t="s">
        <v>529</v>
      </c>
      <c r="M225" s="6" t="n">
        <v>9</v>
      </c>
      <c r="N225" s="7" t="s">
        <v>24</v>
      </c>
    </row>
    <row r="226" customFormat="false" ht="15" hidden="false" customHeight="false" outlineLevel="0" collapsed="false">
      <c r="A226" s="6" t="n">
        <v>225</v>
      </c>
      <c r="B226" s="7" t="s">
        <v>522</v>
      </c>
      <c r="C226" s="7" t="s">
        <v>523</v>
      </c>
      <c r="D226" s="8" t="s">
        <v>547</v>
      </c>
      <c r="E226" s="6" t="s">
        <v>548</v>
      </c>
      <c r="F226" s="6" t="s">
        <v>378</v>
      </c>
      <c r="G226" s="7" t="s">
        <v>27</v>
      </c>
      <c r="H226" s="7" t="s">
        <v>38</v>
      </c>
      <c r="I226" s="7" t="s">
        <v>153</v>
      </c>
      <c r="J226" s="6" t="s">
        <v>528</v>
      </c>
      <c r="K226" s="6" t="n">
        <v>1</v>
      </c>
      <c r="L226" s="7" t="s">
        <v>529</v>
      </c>
      <c r="M226" s="6" t="n">
        <v>10</v>
      </c>
      <c r="N226" s="7" t="s">
        <v>40</v>
      </c>
    </row>
    <row r="227" customFormat="false" ht="15" hidden="false" customHeight="false" outlineLevel="0" collapsed="false">
      <c r="A227" s="6" t="n">
        <v>226</v>
      </c>
      <c r="B227" s="7" t="s">
        <v>522</v>
      </c>
      <c r="C227" s="7" t="s">
        <v>523</v>
      </c>
      <c r="D227" s="8" t="s">
        <v>549</v>
      </c>
      <c r="E227" s="7" t="s">
        <v>550</v>
      </c>
      <c r="F227" s="6" t="s">
        <v>526</v>
      </c>
      <c r="G227" s="7" t="s">
        <v>43</v>
      </c>
      <c r="H227" s="7" t="s">
        <v>20</v>
      </c>
      <c r="I227" s="7" t="s">
        <v>540</v>
      </c>
      <c r="J227" s="6" t="s">
        <v>528</v>
      </c>
      <c r="K227" s="6" t="n">
        <v>1</v>
      </c>
      <c r="L227" s="7" t="s">
        <v>529</v>
      </c>
      <c r="M227" s="6" t="n">
        <v>11</v>
      </c>
      <c r="N227" s="7" t="s">
        <v>24</v>
      </c>
    </row>
    <row r="228" customFormat="false" ht="15" hidden="false" customHeight="false" outlineLevel="0" collapsed="false">
      <c r="A228" s="6" t="n">
        <v>227</v>
      </c>
      <c r="B228" s="7" t="s">
        <v>522</v>
      </c>
      <c r="C228" s="7" t="s">
        <v>523</v>
      </c>
      <c r="D228" s="8" t="s">
        <v>551</v>
      </c>
      <c r="E228" s="7" t="s">
        <v>552</v>
      </c>
      <c r="F228" s="6" t="s">
        <v>526</v>
      </c>
      <c r="G228" s="7" t="s">
        <v>43</v>
      </c>
      <c r="H228" s="7" t="s">
        <v>20</v>
      </c>
      <c r="I228" s="7" t="s">
        <v>540</v>
      </c>
      <c r="J228" s="6" t="s">
        <v>528</v>
      </c>
      <c r="K228" s="6" t="n">
        <v>1</v>
      </c>
      <c r="L228" s="7" t="s">
        <v>529</v>
      </c>
      <c r="M228" s="6" t="n">
        <v>12</v>
      </c>
      <c r="N228" s="7" t="s">
        <v>24</v>
      </c>
    </row>
    <row r="229" customFormat="false" ht="15" hidden="false" customHeight="false" outlineLevel="0" collapsed="false">
      <c r="A229" s="6" t="n">
        <v>228</v>
      </c>
      <c r="B229" s="7" t="s">
        <v>522</v>
      </c>
      <c r="C229" s="7" t="s">
        <v>523</v>
      </c>
      <c r="D229" s="8" t="s">
        <v>553</v>
      </c>
      <c r="E229" s="7" t="s">
        <v>554</v>
      </c>
      <c r="F229" s="6" t="s">
        <v>526</v>
      </c>
      <c r="G229" s="7" t="s">
        <v>43</v>
      </c>
      <c r="H229" s="7" t="s">
        <v>20</v>
      </c>
      <c r="I229" s="7" t="s">
        <v>540</v>
      </c>
      <c r="J229" s="6" t="s">
        <v>528</v>
      </c>
      <c r="K229" s="6" t="n">
        <v>1</v>
      </c>
      <c r="L229" s="7" t="s">
        <v>529</v>
      </c>
      <c r="M229" s="6" t="n">
        <v>13</v>
      </c>
      <c r="N229" s="7" t="s">
        <v>24</v>
      </c>
    </row>
    <row r="230" customFormat="false" ht="15" hidden="false" customHeight="false" outlineLevel="0" collapsed="false">
      <c r="A230" s="6" t="n">
        <v>229</v>
      </c>
      <c r="B230" s="7" t="s">
        <v>522</v>
      </c>
      <c r="C230" s="7" t="s">
        <v>523</v>
      </c>
      <c r="D230" s="8" t="s">
        <v>555</v>
      </c>
      <c r="E230" s="7" t="s">
        <v>556</v>
      </c>
      <c r="F230" s="6" t="s">
        <v>526</v>
      </c>
      <c r="G230" s="7" t="s">
        <v>43</v>
      </c>
      <c r="H230" s="7" t="s">
        <v>20</v>
      </c>
      <c r="I230" s="7" t="s">
        <v>34</v>
      </c>
      <c r="J230" s="6" t="s">
        <v>528</v>
      </c>
      <c r="K230" s="6" t="n">
        <v>1</v>
      </c>
      <c r="L230" s="7" t="s">
        <v>529</v>
      </c>
      <c r="M230" s="6" t="n">
        <v>14</v>
      </c>
      <c r="N230" s="7" t="s">
        <v>24</v>
      </c>
    </row>
    <row r="231" customFormat="false" ht="15" hidden="false" customHeight="false" outlineLevel="0" collapsed="false">
      <c r="A231" s="6" t="n">
        <v>230</v>
      </c>
      <c r="B231" s="7" t="s">
        <v>522</v>
      </c>
      <c r="C231" s="7" t="s">
        <v>523</v>
      </c>
      <c r="D231" s="8" t="s">
        <v>557</v>
      </c>
      <c r="E231" s="7" t="s">
        <v>558</v>
      </c>
      <c r="F231" s="6" t="s">
        <v>82</v>
      </c>
      <c r="G231" s="7" t="s">
        <v>27</v>
      </c>
      <c r="H231" s="7" t="s">
        <v>38</v>
      </c>
      <c r="I231" s="7" t="s">
        <v>559</v>
      </c>
      <c r="J231" s="6" t="s">
        <v>528</v>
      </c>
      <c r="K231" s="6" t="n">
        <v>1</v>
      </c>
      <c r="L231" s="7" t="s">
        <v>529</v>
      </c>
      <c r="M231" s="6" t="n">
        <v>15</v>
      </c>
      <c r="N231" s="7" t="s">
        <v>40</v>
      </c>
    </row>
    <row r="232" customFormat="false" ht="15" hidden="false" customHeight="false" outlineLevel="0" collapsed="false">
      <c r="A232" s="6" t="n">
        <v>231</v>
      </c>
      <c r="B232" s="7" t="s">
        <v>522</v>
      </c>
      <c r="C232" s="7" t="s">
        <v>523</v>
      </c>
      <c r="D232" s="8" t="s">
        <v>560</v>
      </c>
      <c r="E232" s="7" t="s">
        <v>561</v>
      </c>
      <c r="F232" s="6" t="s">
        <v>526</v>
      </c>
      <c r="G232" s="7" t="s">
        <v>43</v>
      </c>
      <c r="H232" s="7" t="s">
        <v>20</v>
      </c>
      <c r="I232" s="7" t="s">
        <v>183</v>
      </c>
      <c r="J232" s="6" t="s">
        <v>528</v>
      </c>
      <c r="K232" s="6" t="n">
        <v>1</v>
      </c>
      <c r="L232" s="7" t="s">
        <v>529</v>
      </c>
      <c r="M232" s="6" t="n">
        <v>16</v>
      </c>
      <c r="N232" s="7" t="s">
        <v>24</v>
      </c>
    </row>
    <row r="233" customFormat="false" ht="29.85" hidden="false" customHeight="false" outlineLevel="0" collapsed="false">
      <c r="A233" s="6" t="n">
        <v>232</v>
      </c>
      <c r="B233" s="7" t="s">
        <v>522</v>
      </c>
      <c r="C233" s="7" t="s">
        <v>523</v>
      </c>
      <c r="D233" s="8" t="s">
        <v>562</v>
      </c>
      <c r="E233" s="7" t="s">
        <v>561</v>
      </c>
      <c r="F233" s="6" t="s">
        <v>526</v>
      </c>
      <c r="G233" s="7" t="s">
        <v>43</v>
      </c>
      <c r="H233" s="7" t="s">
        <v>20</v>
      </c>
      <c r="I233" s="7" t="s">
        <v>88</v>
      </c>
      <c r="J233" s="6" t="s">
        <v>528</v>
      </c>
      <c r="K233" s="6" t="n">
        <v>1</v>
      </c>
      <c r="L233" s="7" t="s">
        <v>529</v>
      </c>
      <c r="M233" s="6" t="n">
        <v>17</v>
      </c>
      <c r="N233" s="7" t="s">
        <v>24</v>
      </c>
    </row>
    <row r="234" customFormat="false" ht="29.85" hidden="false" customHeight="false" outlineLevel="0" collapsed="false">
      <c r="A234" s="6" t="n">
        <v>233</v>
      </c>
      <c r="B234" s="7" t="s">
        <v>522</v>
      </c>
      <c r="C234" s="7" t="s">
        <v>523</v>
      </c>
      <c r="D234" s="8" t="s">
        <v>563</v>
      </c>
      <c r="E234" s="7" t="s">
        <v>564</v>
      </c>
      <c r="F234" s="6" t="s">
        <v>526</v>
      </c>
      <c r="G234" s="7" t="s">
        <v>43</v>
      </c>
      <c r="H234" s="7" t="s">
        <v>38</v>
      </c>
      <c r="I234" s="7" t="s">
        <v>565</v>
      </c>
      <c r="J234" s="6" t="s">
        <v>528</v>
      </c>
      <c r="K234" s="6" t="n">
        <v>1</v>
      </c>
      <c r="L234" s="7" t="s">
        <v>529</v>
      </c>
      <c r="M234" s="6" t="n">
        <v>18</v>
      </c>
      <c r="N234" s="7" t="s">
        <v>40</v>
      </c>
    </row>
    <row r="235" customFormat="false" ht="15" hidden="false" customHeight="false" outlineLevel="0" collapsed="false">
      <c r="A235" s="6" t="n">
        <v>234</v>
      </c>
      <c r="B235" s="7" t="s">
        <v>566</v>
      </c>
      <c r="C235" s="7" t="s">
        <v>567</v>
      </c>
      <c r="D235" s="8" t="s">
        <v>568</v>
      </c>
      <c r="E235" s="7" t="s">
        <v>569</v>
      </c>
      <c r="F235" s="6" t="s">
        <v>526</v>
      </c>
      <c r="G235" s="7" t="s">
        <v>43</v>
      </c>
      <c r="H235" s="7" t="s">
        <v>20</v>
      </c>
      <c r="I235" s="7" t="s">
        <v>65</v>
      </c>
      <c r="J235" s="6" t="s">
        <v>528</v>
      </c>
      <c r="K235" s="6" t="n">
        <v>2</v>
      </c>
      <c r="L235" s="7" t="s">
        <v>570</v>
      </c>
      <c r="M235" s="6" t="n">
        <v>1</v>
      </c>
      <c r="N235" s="7" t="s">
        <v>24</v>
      </c>
    </row>
    <row r="236" customFormat="false" ht="15" hidden="false" customHeight="false" outlineLevel="0" collapsed="false">
      <c r="A236" s="6" t="n">
        <v>235</v>
      </c>
      <c r="B236" s="7" t="s">
        <v>566</v>
      </c>
      <c r="C236" s="7" t="s">
        <v>567</v>
      </c>
      <c r="D236" s="8" t="s">
        <v>571</v>
      </c>
      <c r="E236" s="7" t="s">
        <v>572</v>
      </c>
      <c r="F236" s="6" t="s">
        <v>526</v>
      </c>
      <c r="G236" s="7" t="s">
        <v>43</v>
      </c>
      <c r="H236" s="7" t="s">
        <v>20</v>
      </c>
      <c r="I236" s="7" t="s">
        <v>32</v>
      </c>
      <c r="J236" s="6" t="s">
        <v>528</v>
      </c>
      <c r="K236" s="6" t="n">
        <v>2</v>
      </c>
      <c r="L236" s="7" t="s">
        <v>570</v>
      </c>
      <c r="M236" s="6" t="n">
        <v>2</v>
      </c>
      <c r="N236" s="7" t="s">
        <v>24</v>
      </c>
    </row>
    <row r="237" customFormat="false" ht="15" hidden="false" customHeight="false" outlineLevel="0" collapsed="false">
      <c r="A237" s="6" t="n">
        <v>236</v>
      </c>
      <c r="B237" s="7" t="s">
        <v>566</v>
      </c>
      <c r="C237" s="7" t="s">
        <v>567</v>
      </c>
      <c r="D237" s="8" t="s">
        <v>573</v>
      </c>
      <c r="E237" s="7" t="s">
        <v>574</v>
      </c>
      <c r="F237" s="6" t="s">
        <v>526</v>
      </c>
      <c r="G237" s="7" t="s">
        <v>43</v>
      </c>
      <c r="H237" s="7" t="s">
        <v>20</v>
      </c>
      <c r="I237" s="7" t="s">
        <v>575</v>
      </c>
      <c r="J237" s="6" t="s">
        <v>528</v>
      </c>
      <c r="K237" s="6" t="n">
        <v>2</v>
      </c>
      <c r="L237" s="7" t="s">
        <v>570</v>
      </c>
      <c r="M237" s="6" t="n">
        <v>3</v>
      </c>
      <c r="N237" s="7" t="s">
        <v>24</v>
      </c>
    </row>
    <row r="238" customFormat="false" ht="29.85" hidden="false" customHeight="false" outlineLevel="0" collapsed="false">
      <c r="A238" s="6" t="n">
        <v>237</v>
      </c>
      <c r="B238" s="7" t="s">
        <v>566</v>
      </c>
      <c r="C238" s="7" t="s">
        <v>567</v>
      </c>
      <c r="D238" s="8" t="s">
        <v>576</v>
      </c>
      <c r="E238" s="7" t="s">
        <v>572</v>
      </c>
      <c r="F238" s="6" t="s">
        <v>526</v>
      </c>
      <c r="G238" s="7" t="s">
        <v>43</v>
      </c>
      <c r="H238" s="7" t="s">
        <v>20</v>
      </c>
      <c r="I238" s="7" t="s">
        <v>98</v>
      </c>
      <c r="J238" s="6" t="s">
        <v>528</v>
      </c>
      <c r="K238" s="6" t="n">
        <v>2</v>
      </c>
      <c r="L238" s="7" t="s">
        <v>570</v>
      </c>
      <c r="M238" s="6" t="n">
        <v>4</v>
      </c>
      <c r="N238" s="7" t="s">
        <v>24</v>
      </c>
    </row>
    <row r="239" customFormat="false" ht="15" hidden="false" customHeight="false" outlineLevel="0" collapsed="false">
      <c r="A239" s="6" t="n">
        <v>238</v>
      </c>
      <c r="B239" s="7" t="s">
        <v>566</v>
      </c>
      <c r="C239" s="7" t="s">
        <v>567</v>
      </c>
      <c r="D239" s="8" t="s">
        <v>577</v>
      </c>
      <c r="E239" s="7" t="s">
        <v>578</v>
      </c>
      <c r="F239" s="6" t="s">
        <v>82</v>
      </c>
      <c r="G239" s="7" t="s">
        <v>27</v>
      </c>
      <c r="H239" s="7" t="s">
        <v>38</v>
      </c>
      <c r="I239" s="7" t="s">
        <v>153</v>
      </c>
      <c r="J239" s="6" t="s">
        <v>528</v>
      </c>
      <c r="K239" s="6" t="n">
        <v>2</v>
      </c>
      <c r="L239" s="7" t="s">
        <v>570</v>
      </c>
      <c r="M239" s="6" t="n">
        <v>5</v>
      </c>
      <c r="N239" s="7" t="s">
        <v>40</v>
      </c>
    </row>
    <row r="240" customFormat="false" ht="29.85" hidden="false" customHeight="false" outlineLevel="0" collapsed="false">
      <c r="A240" s="6" t="n">
        <v>239</v>
      </c>
      <c r="B240" s="7" t="s">
        <v>566</v>
      </c>
      <c r="C240" s="7" t="s">
        <v>567</v>
      </c>
      <c r="D240" s="8" t="s">
        <v>579</v>
      </c>
      <c r="E240" s="7" t="s">
        <v>580</v>
      </c>
      <c r="F240" s="6" t="s">
        <v>526</v>
      </c>
      <c r="G240" s="7" t="s">
        <v>43</v>
      </c>
      <c r="H240" s="7" t="s">
        <v>20</v>
      </c>
      <c r="I240" s="7" t="s">
        <v>150</v>
      </c>
      <c r="J240" s="6" t="s">
        <v>528</v>
      </c>
      <c r="K240" s="6" t="n">
        <v>2</v>
      </c>
      <c r="L240" s="7" t="s">
        <v>570</v>
      </c>
      <c r="M240" s="6" t="n">
        <v>6</v>
      </c>
      <c r="N240" s="7" t="s">
        <v>24</v>
      </c>
    </row>
    <row r="241" customFormat="false" ht="29.85" hidden="false" customHeight="false" outlineLevel="0" collapsed="false">
      <c r="A241" s="6" t="n">
        <v>240</v>
      </c>
      <c r="B241" s="7" t="s">
        <v>566</v>
      </c>
      <c r="C241" s="7" t="s">
        <v>567</v>
      </c>
      <c r="D241" s="8" t="s">
        <v>581</v>
      </c>
      <c r="E241" s="7" t="s">
        <v>569</v>
      </c>
      <c r="F241" s="6" t="s">
        <v>526</v>
      </c>
      <c r="G241" s="7" t="s">
        <v>43</v>
      </c>
      <c r="H241" s="7" t="s">
        <v>20</v>
      </c>
      <c r="I241" s="7" t="s">
        <v>295</v>
      </c>
      <c r="J241" s="6" t="s">
        <v>528</v>
      </c>
      <c r="K241" s="6" t="n">
        <v>2</v>
      </c>
      <c r="L241" s="7" t="s">
        <v>570</v>
      </c>
      <c r="M241" s="6" t="n">
        <v>7</v>
      </c>
      <c r="N241" s="7" t="s">
        <v>24</v>
      </c>
    </row>
    <row r="242" customFormat="false" ht="15" hidden="false" customHeight="false" outlineLevel="0" collapsed="false">
      <c r="A242" s="6" t="n">
        <v>241</v>
      </c>
      <c r="B242" s="7" t="s">
        <v>566</v>
      </c>
      <c r="C242" s="7" t="s">
        <v>567</v>
      </c>
      <c r="D242" s="8" t="s">
        <v>582</v>
      </c>
      <c r="E242" s="7" t="s">
        <v>583</v>
      </c>
      <c r="F242" s="6" t="s">
        <v>37</v>
      </c>
      <c r="G242" s="7" t="s">
        <v>27</v>
      </c>
      <c r="H242" s="7" t="s">
        <v>38</v>
      </c>
      <c r="I242" s="7" t="s">
        <v>360</v>
      </c>
      <c r="J242" s="6" t="s">
        <v>528</v>
      </c>
      <c r="K242" s="6" t="n">
        <v>2</v>
      </c>
      <c r="L242" s="7" t="s">
        <v>570</v>
      </c>
      <c r="M242" s="6" t="n">
        <v>8</v>
      </c>
      <c r="N242" s="7" t="s">
        <v>40</v>
      </c>
    </row>
    <row r="243" customFormat="false" ht="15" hidden="false" customHeight="false" outlineLevel="0" collapsed="false">
      <c r="A243" s="6" t="n">
        <v>242</v>
      </c>
      <c r="B243" s="7" t="s">
        <v>566</v>
      </c>
      <c r="C243" s="7" t="s">
        <v>567</v>
      </c>
      <c r="D243" s="8" t="s">
        <v>584</v>
      </c>
      <c r="E243" s="7" t="s">
        <v>585</v>
      </c>
      <c r="F243" s="6" t="s">
        <v>37</v>
      </c>
      <c r="G243" s="7" t="s">
        <v>27</v>
      </c>
      <c r="H243" s="7" t="s">
        <v>38</v>
      </c>
      <c r="I243" s="7" t="s">
        <v>586</v>
      </c>
      <c r="J243" s="6" t="s">
        <v>528</v>
      </c>
      <c r="K243" s="6" t="n">
        <v>2</v>
      </c>
      <c r="L243" s="7" t="s">
        <v>570</v>
      </c>
      <c r="M243" s="6" t="n">
        <v>9</v>
      </c>
      <c r="N243" s="7" t="s">
        <v>40</v>
      </c>
    </row>
    <row r="244" customFormat="false" ht="15" hidden="false" customHeight="false" outlineLevel="0" collapsed="false">
      <c r="A244" s="6" t="n">
        <v>243</v>
      </c>
      <c r="B244" s="7" t="s">
        <v>566</v>
      </c>
      <c r="C244" s="7" t="s">
        <v>567</v>
      </c>
      <c r="D244" s="8" t="s">
        <v>587</v>
      </c>
      <c r="E244" s="7" t="s">
        <v>578</v>
      </c>
      <c r="F244" s="6" t="s">
        <v>82</v>
      </c>
      <c r="G244" s="7" t="s">
        <v>27</v>
      </c>
      <c r="H244" s="7" t="s">
        <v>38</v>
      </c>
      <c r="I244" s="7" t="s">
        <v>588</v>
      </c>
      <c r="J244" s="6" t="s">
        <v>528</v>
      </c>
      <c r="K244" s="6" t="n">
        <v>2</v>
      </c>
      <c r="L244" s="7" t="s">
        <v>570</v>
      </c>
      <c r="M244" s="6" t="n">
        <v>10</v>
      </c>
      <c r="N244" s="7" t="s">
        <v>40</v>
      </c>
    </row>
    <row r="245" customFormat="false" ht="29.85" hidden="false" customHeight="false" outlineLevel="0" collapsed="false">
      <c r="A245" s="6" t="n">
        <v>244</v>
      </c>
      <c r="B245" s="7" t="s">
        <v>566</v>
      </c>
      <c r="C245" s="7" t="s">
        <v>567</v>
      </c>
      <c r="D245" s="8" t="s">
        <v>589</v>
      </c>
      <c r="E245" s="7" t="s">
        <v>566</v>
      </c>
      <c r="F245" s="6" t="s">
        <v>476</v>
      </c>
      <c r="G245" s="7" t="s">
        <v>43</v>
      </c>
      <c r="H245" s="7" t="s">
        <v>38</v>
      </c>
      <c r="I245" s="7" t="s">
        <v>163</v>
      </c>
      <c r="J245" s="6" t="s">
        <v>528</v>
      </c>
      <c r="K245" s="6" t="n">
        <v>2</v>
      </c>
      <c r="L245" s="7" t="s">
        <v>570</v>
      </c>
      <c r="M245" s="6" t="n">
        <v>11</v>
      </c>
      <c r="N245" s="7" t="s">
        <v>40</v>
      </c>
    </row>
    <row r="246" customFormat="false" ht="29.85" hidden="false" customHeight="false" outlineLevel="0" collapsed="false">
      <c r="A246" s="6" t="n">
        <v>245</v>
      </c>
      <c r="B246" s="7" t="s">
        <v>566</v>
      </c>
      <c r="C246" s="7" t="s">
        <v>567</v>
      </c>
      <c r="D246" s="8" t="s">
        <v>590</v>
      </c>
      <c r="E246" s="7" t="s">
        <v>591</v>
      </c>
      <c r="F246" s="6" t="s">
        <v>476</v>
      </c>
      <c r="G246" s="7" t="s">
        <v>43</v>
      </c>
      <c r="H246" s="7" t="s">
        <v>38</v>
      </c>
      <c r="I246" s="7" t="s">
        <v>315</v>
      </c>
      <c r="J246" s="6" t="s">
        <v>528</v>
      </c>
      <c r="K246" s="6" t="n">
        <v>2</v>
      </c>
      <c r="L246" s="7" t="s">
        <v>570</v>
      </c>
      <c r="M246" s="6" t="n">
        <v>12</v>
      </c>
      <c r="N246" s="7" t="s">
        <v>40</v>
      </c>
    </row>
    <row r="247" customFormat="false" ht="15" hidden="false" customHeight="false" outlineLevel="0" collapsed="false">
      <c r="A247" s="6" t="n">
        <v>246</v>
      </c>
      <c r="B247" s="7" t="s">
        <v>522</v>
      </c>
      <c r="C247" s="7" t="s">
        <v>592</v>
      </c>
      <c r="D247" s="8" t="s">
        <v>593</v>
      </c>
      <c r="E247" s="7" t="s">
        <v>594</v>
      </c>
      <c r="F247" s="6" t="s">
        <v>526</v>
      </c>
      <c r="G247" s="7" t="s">
        <v>43</v>
      </c>
      <c r="H247" s="7" t="s">
        <v>20</v>
      </c>
      <c r="I247" s="7" t="s">
        <v>595</v>
      </c>
      <c r="J247" s="6" t="s">
        <v>528</v>
      </c>
      <c r="K247" s="6" t="n">
        <v>3</v>
      </c>
      <c r="L247" s="7" t="s">
        <v>596</v>
      </c>
      <c r="M247" s="6" t="n">
        <v>1</v>
      </c>
      <c r="N247" s="7" t="s">
        <v>24</v>
      </c>
    </row>
    <row r="248" customFormat="false" ht="15" hidden="false" customHeight="false" outlineLevel="0" collapsed="false">
      <c r="A248" s="6" t="n">
        <v>247</v>
      </c>
      <c r="B248" s="7" t="s">
        <v>522</v>
      </c>
      <c r="C248" s="7" t="s">
        <v>592</v>
      </c>
      <c r="D248" s="8" t="s">
        <v>597</v>
      </c>
      <c r="E248" s="7" t="s">
        <v>598</v>
      </c>
      <c r="F248" s="6" t="s">
        <v>526</v>
      </c>
      <c r="G248" s="7" t="s">
        <v>43</v>
      </c>
      <c r="H248" s="7" t="s">
        <v>20</v>
      </c>
      <c r="I248" s="7" t="s">
        <v>595</v>
      </c>
      <c r="J248" s="6" t="s">
        <v>528</v>
      </c>
      <c r="K248" s="6" t="n">
        <v>3</v>
      </c>
      <c r="L248" s="7" t="s">
        <v>596</v>
      </c>
      <c r="M248" s="6" t="n">
        <v>2</v>
      </c>
      <c r="N248" s="7" t="s">
        <v>24</v>
      </c>
    </row>
    <row r="249" customFormat="false" ht="15" hidden="false" customHeight="false" outlineLevel="0" collapsed="false">
      <c r="A249" s="6" t="n">
        <v>248</v>
      </c>
      <c r="B249" s="7" t="s">
        <v>522</v>
      </c>
      <c r="C249" s="7" t="s">
        <v>592</v>
      </c>
      <c r="D249" s="8" t="s">
        <v>599</v>
      </c>
      <c r="E249" s="7" t="s">
        <v>600</v>
      </c>
      <c r="F249" s="6" t="s">
        <v>526</v>
      </c>
      <c r="G249" s="7" t="s">
        <v>43</v>
      </c>
      <c r="H249" s="7" t="s">
        <v>20</v>
      </c>
      <c r="I249" s="7" t="s">
        <v>595</v>
      </c>
      <c r="J249" s="6" t="s">
        <v>528</v>
      </c>
      <c r="K249" s="6" t="n">
        <v>3</v>
      </c>
      <c r="L249" s="7" t="s">
        <v>596</v>
      </c>
      <c r="M249" s="6" t="n">
        <v>3</v>
      </c>
      <c r="N249" s="7" t="s">
        <v>24</v>
      </c>
    </row>
    <row r="250" customFormat="false" ht="15" hidden="false" customHeight="false" outlineLevel="0" collapsed="false">
      <c r="A250" s="6" t="n">
        <v>249</v>
      </c>
      <c r="B250" s="7" t="s">
        <v>522</v>
      </c>
      <c r="C250" s="7" t="s">
        <v>592</v>
      </c>
      <c r="D250" s="8" t="s">
        <v>601</v>
      </c>
      <c r="E250" s="7" t="s">
        <v>602</v>
      </c>
      <c r="F250" s="6" t="s">
        <v>526</v>
      </c>
      <c r="G250" s="7" t="s">
        <v>43</v>
      </c>
      <c r="H250" s="7" t="s">
        <v>20</v>
      </c>
      <c r="I250" s="7" t="s">
        <v>135</v>
      </c>
      <c r="J250" s="6" t="s">
        <v>528</v>
      </c>
      <c r="K250" s="6" t="n">
        <v>3</v>
      </c>
      <c r="L250" s="7" t="s">
        <v>596</v>
      </c>
      <c r="M250" s="6" t="n">
        <v>4</v>
      </c>
      <c r="N250" s="7" t="s">
        <v>24</v>
      </c>
    </row>
    <row r="251" customFormat="false" ht="15" hidden="false" customHeight="false" outlineLevel="0" collapsed="false">
      <c r="A251" s="6" t="n">
        <v>250</v>
      </c>
      <c r="B251" s="7" t="s">
        <v>522</v>
      </c>
      <c r="C251" s="7" t="s">
        <v>592</v>
      </c>
      <c r="D251" s="8" t="s">
        <v>603</v>
      </c>
      <c r="E251" s="7" t="s">
        <v>604</v>
      </c>
      <c r="F251" s="6" t="s">
        <v>82</v>
      </c>
      <c r="G251" s="7" t="s">
        <v>27</v>
      </c>
      <c r="H251" s="7" t="s">
        <v>38</v>
      </c>
      <c r="I251" s="7" t="s">
        <v>586</v>
      </c>
      <c r="J251" s="6" t="s">
        <v>528</v>
      </c>
      <c r="K251" s="6" t="n">
        <v>3</v>
      </c>
      <c r="L251" s="7" t="s">
        <v>596</v>
      </c>
      <c r="M251" s="6" t="n">
        <v>5</v>
      </c>
      <c r="N251" s="7" t="s">
        <v>40</v>
      </c>
    </row>
    <row r="252" customFormat="false" ht="15" hidden="false" customHeight="false" outlineLevel="0" collapsed="false">
      <c r="A252" s="6" t="n">
        <v>251</v>
      </c>
      <c r="B252" s="7" t="s">
        <v>522</v>
      </c>
      <c r="C252" s="7" t="s">
        <v>592</v>
      </c>
      <c r="D252" s="8" t="s">
        <v>605</v>
      </c>
      <c r="E252" s="7" t="s">
        <v>594</v>
      </c>
      <c r="F252" s="6" t="s">
        <v>526</v>
      </c>
      <c r="G252" s="7" t="s">
        <v>43</v>
      </c>
      <c r="H252" s="7" t="s">
        <v>20</v>
      </c>
      <c r="I252" s="7" t="s">
        <v>44</v>
      </c>
      <c r="J252" s="6" t="s">
        <v>528</v>
      </c>
      <c r="K252" s="6" t="n">
        <v>3</v>
      </c>
      <c r="L252" s="7" t="s">
        <v>596</v>
      </c>
      <c r="M252" s="6" t="n">
        <v>6</v>
      </c>
      <c r="N252" s="7" t="s">
        <v>24</v>
      </c>
    </row>
    <row r="253" customFormat="false" ht="15" hidden="false" customHeight="false" outlineLevel="0" collapsed="false">
      <c r="A253" s="6" t="n">
        <v>252</v>
      </c>
      <c r="B253" s="7" t="s">
        <v>522</v>
      </c>
      <c r="C253" s="7" t="s">
        <v>592</v>
      </c>
      <c r="D253" s="8" t="s">
        <v>606</v>
      </c>
      <c r="E253" s="7" t="s">
        <v>607</v>
      </c>
      <c r="F253" s="6" t="s">
        <v>526</v>
      </c>
      <c r="G253" s="7" t="s">
        <v>43</v>
      </c>
      <c r="H253" s="7" t="s">
        <v>20</v>
      </c>
      <c r="I253" s="7" t="s">
        <v>138</v>
      </c>
      <c r="J253" s="6" t="s">
        <v>528</v>
      </c>
      <c r="K253" s="6" t="n">
        <v>3</v>
      </c>
      <c r="L253" s="7" t="s">
        <v>596</v>
      </c>
      <c r="M253" s="6" t="n">
        <v>7</v>
      </c>
      <c r="N253" s="7" t="s">
        <v>24</v>
      </c>
    </row>
    <row r="254" customFormat="false" ht="29.85" hidden="false" customHeight="false" outlineLevel="0" collapsed="false">
      <c r="A254" s="6" t="n">
        <v>253</v>
      </c>
      <c r="B254" s="7" t="s">
        <v>522</v>
      </c>
      <c r="C254" s="7" t="s">
        <v>592</v>
      </c>
      <c r="D254" s="8" t="s">
        <v>608</v>
      </c>
      <c r="E254" s="7" t="s">
        <v>609</v>
      </c>
      <c r="F254" s="6" t="s">
        <v>526</v>
      </c>
      <c r="G254" s="7" t="s">
        <v>43</v>
      </c>
      <c r="H254" s="7" t="s">
        <v>20</v>
      </c>
      <c r="I254" s="7" t="s">
        <v>189</v>
      </c>
      <c r="J254" s="6" t="s">
        <v>528</v>
      </c>
      <c r="K254" s="6" t="n">
        <v>3</v>
      </c>
      <c r="L254" s="7" t="s">
        <v>596</v>
      </c>
      <c r="M254" s="6" t="n">
        <v>8</v>
      </c>
      <c r="N254" s="7" t="s">
        <v>24</v>
      </c>
    </row>
    <row r="255" customFormat="false" ht="29.85" hidden="false" customHeight="false" outlineLevel="0" collapsed="false">
      <c r="A255" s="6" t="n">
        <v>254</v>
      </c>
      <c r="B255" s="7" t="s">
        <v>522</v>
      </c>
      <c r="C255" s="7" t="s">
        <v>592</v>
      </c>
      <c r="D255" s="8" t="s">
        <v>610</v>
      </c>
      <c r="E255" s="7" t="s">
        <v>611</v>
      </c>
      <c r="F255" s="6" t="s">
        <v>526</v>
      </c>
      <c r="G255" s="7" t="s">
        <v>43</v>
      </c>
      <c r="H255" s="7" t="s">
        <v>20</v>
      </c>
      <c r="I255" s="7" t="s">
        <v>49</v>
      </c>
      <c r="J255" s="6" t="s">
        <v>528</v>
      </c>
      <c r="K255" s="6" t="n">
        <v>3</v>
      </c>
      <c r="L255" s="7" t="s">
        <v>596</v>
      </c>
      <c r="M255" s="6" t="n">
        <v>9</v>
      </c>
      <c r="N255" s="7" t="s">
        <v>24</v>
      </c>
    </row>
    <row r="256" customFormat="false" ht="29.85" hidden="false" customHeight="false" outlineLevel="0" collapsed="false">
      <c r="A256" s="6" t="n">
        <v>255</v>
      </c>
      <c r="B256" s="7" t="s">
        <v>522</v>
      </c>
      <c r="C256" s="7" t="s">
        <v>592</v>
      </c>
      <c r="D256" s="8" t="s">
        <v>612</v>
      </c>
      <c r="E256" s="7" t="s">
        <v>613</v>
      </c>
      <c r="F256" s="6" t="s">
        <v>526</v>
      </c>
      <c r="G256" s="7" t="s">
        <v>43</v>
      </c>
      <c r="H256" s="7" t="s">
        <v>38</v>
      </c>
      <c r="I256" s="7" t="s">
        <v>369</v>
      </c>
      <c r="J256" s="6" t="s">
        <v>528</v>
      </c>
      <c r="K256" s="6" t="n">
        <v>3</v>
      </c>
      <c r="L256" s="7" t="s">
        <v>596</v>
      </c>
      <c r="M256" s="6" t="n">
        <v>10</v>
      </c>
      <c r="N256" s="7" t="s">
        <v>40</v>
      </c>
    </row>
    <row r="257" customFormat="false" ht="29.85" hidden="false" customHeight="false" outlineLevel="0" collapsed="false">
      <c r="A257" s="6" t="n">
        <v>256</v>
      </c>
      <c r="B257" s="7" t="s">
        <v>522</v>
      </c>
      <c r="C257" s="7" t="s">
        <v>592</v>
      </c>
      <c r="D257" s="8" t="s">
        <v>614</v>
      </c>
      <c r="E257" s="7" t="s">
        <v>615</v>
      </c>
      <c r="F257" s="6" t="s">
        <v>526</v>
      </c>
      <c r="G257" s="7" t="s">
        <v>43</v>
      </c>
      <c r="H257" s="7" t="s">
        <v>20</v>
      </c>
      <c r="I257" s="7" t="s">
        <v>85</v>
      </c>
      <c r="J257" s="6" t="s">
        <v>528</v>
      </c>
      <c r="K257" s="6" t="n">
        <v>3</v>
      </c>
      <c r="L257" s="7" t="s">
        <v>596</v>
      </c>
      <c r="M257" s="6" t="n">
        <v>11</v>
      </c>
      <c r="N257" s="7" t="s">
        <v>24</v>
      </c>
    </row>
    <row r="258" customFormat="false" ht="29.85" hidden="false" customHeight="false" outlineLevel="0" collapsed="false">
      <c r="A258" s="6" t="n">
        <v>257</v>
      </c>
      <c r="B258" s="7" t="s">
        <v>522</v>
      </c>
      <c r="C258" s="7" t="s">
        <v>592</v>
      </c>
      <c r="D258" s="8" t="s">
        <v>616</v>
      </c>
      <c r="E258" s="7" t="s">
        <v>617</v>
      </c>
      <c r="F258" s="6" t="s">
        <v>526</v>
      </c>
      <c r="G258" s="7" t="s">
        <v>43</v>
      </c>
      <c r="H258" s="7" t="s">
        <v>20</v>
      </c>
      <c r="I258" s="7" t="s">
        <v>88</v>
      </c>
      <c r="J258" s="6" t="s">
        <v>528</v>
      </c>
      <c r="K258" s="6" t="n">
        <v>3</v>
      </c>
      <c r="L258" s="7" t="s">
        <v>596</v>
      </c>
      <c r="M258" s="6" t="n">
        <v>12</v>
      </c>
      <c r="N258" s="7" t="s">
        <v>24</v>
      </c>
    </row>
    <row r="259" customFormat="false" ht="29.85" hidden="false" customHeight="false" outlineLevel="0" collapsed="false">
      <c r="A259" s="6" t="n">
        <v>258</v>
      </c>
      <c r="B259" s="7" t="s">
        <v>522</v>
      </c>
      <c r="C259" s="7" t="s">
        <v>592</v>
      </c>
      <c r="D259" s="8" t="s">
        <v>618</v>
      </c>
      <c r="E259" s="7" t="s">
        <v>619</v>
      </c>
      <c r="F259" s="6" t="s">
        <v>526</v>
      </c>
      <c r="G259" s="7" t="s">
        <v>43</v>
      </c>
      <c r="H259" s="7" t="s">
        <v>20</v>
      </c>
      <c r="I259" s="7" t="s">
        <v>112</v>
      </c>
      <c r="J259" s="6" t="s">
        <v>528</v>
      </c>
      <c r="K259" s="6" t="n">
        <v>3</v>
      </c>
      <c r="L259" s="7" t="s">
        <v>596</v>
      </c>
      <c r="M259" s="6" t="n">
        <v>13</v>
      </c>
      <c r="N259" s="7" t="s">
        <v>24</v>
      </c>
    </row>
    <row r="260" customFormat="false" ht="29.85" hidden="false" customHeight="false" outlineLevel="0" collapsed="false">
      <c r="A260" s="6" t="n">
        <v>259</v>
      </c>
      <c r="B260" s="7" t="s">
        <v>522</v>
      </c>
      <c r="C260" s="7" t="s">
        <v>592</v>
      </c>
      <c r="D260" s="8" t="s">
        <v>620</v>
      </c>
      <c r="E260" s="7" t="s">
        <v>607</v>
      </c>
      <c r="F260" s="6" t="s">
        <v>526</v>
      </c>
      <c r="G260" s="7" t="s">
        <v>43</v>
      </c>
      <c r="H260" s="7" t="s">
        <v>20</v>
      </c>
      <c r="I260" s="7" t="s">
        <v>114</v>
      </c>
      <c r="J260" s="6" t="s">
        <v>528</v>
      </c>
      <c r="K260" s="6" t="n">
        <v>3</v>
      </c>
      <c r="L260" s="7" t="s">
        <v>596</v>
      </c>
      <c r="M260" s="6" t="n">
        <v>14</v>
      </c>
      <c r="N260" s="7" t="s">
        <v>24</v>
      </c>
    </row>
    <row r="261" customFormat="false" ht="29.85" hidden="false" customHeight="false" outlineLevel="0" collapsed="false">
      <c r="A261" s="6" t="n">
        <v>260</v>
      </c>
      <c r="B261" s="7" t="s">
        <v>522</v>
      </c>
      <c r="C261" s="7" t="s">
        <v>592</v>
      </c>
      <c r="D261" s="8" t="s">
        <v>621</v>
      </c>
      <c r="E261" s="7" t="s">
        <v>622</v>
      </c>
      <c r="F261" s="6" t="s">
        <v>82</v>
      </c>
      <c r="G261" s="7" t="s">
        <v>27</v>
      </c>
      <c r="H261" s="7" t="s">
        <v>38</v>
      </c>
      <c r="I261" s="7" t="s">
        <v>623</v>
      </c>
      <c r="J261" s="6" t="s">
        <v>528</v>
      </c>
      <c r="K261" s="6" t="n">
        <v>3</v>
      </c>
      <c r="L261" s="7" t="s">
        <v>596</v>
      </c>
      <c r="M261" s="6" t="n">
        <v>15</v>
      </c>
      <c r="N261" s="7" t="s">
        <v>40</v>
      </c>
    </row>
    <row r="262" customFormat="false" ht="29.85" hidden="false" customHeight="false" outlineLevel="0" collapsed="false">
      <c r="A262" s="6" t="n">
        <v>261</v>
      </c>
      <c r="B262" s="7" t="s">
        <v>522</v>
      </c>
      <c r="C262" s="7" t="s">
        <v>592</v>
      </c>
      <c r="D262" s="8" t="s">
        <v>624</v>
      </c>
      <c r="E262" s="7" t="s">
        <v>625</v>
      </c>
      <c r="F262" s="6" t="s">
        <v>526</v>
      </c>
      <c r="G262" s="7" t="s">
        <v>43</v>
      </c>
      <c r="H262" s="7" t="s">
        <v>20</v>
      </c>
      <c r="I262" s="7" t="s">
        <v>114</v>
      </c>
      <c r="J262" s="6" t="s">
        <v>528</v>
      </c>
      <c r="K262" s="6" t="n">
        <v>3</v>
      </c>
      <c r="L262" s="7" t="s">
        <v>596</v>
      </c>
      <c r="M262" s="6" t="n">
        <v>16</v>
      </c>
      <c r="N262" s="7" t="s">
        <v>24</v>
      </c>
    </row>
    <row r="263" customFormat="false" ht="29.85" hidden="false" customHeight="false" outlineLevel="0" collapsed="false">
      <c r="A263" s="6" t="n">
        <v>262</v>
      </c>
      <c r="B263" s="7" t="s">
        <v>522</v>
      </c>
      <c r="C263" s="7" t="s">
        <v>592</v>
      </c>
      <c r="D263" s="8" t="s">
        <v>626</v>
      </c>
      <c r="E263" s="7" t="s">
        <v>627</v>
      </c>
      <c r="F263" s="6" t="s">
        <v>526</v>
      </c>
      <c r="G263" s="7" t="s">
        <v>43</v>
      </c>
      <c r="H263" s="7" t="s">
        <v>20</v>
      </c>
      <c r="I263" s="7" t="s">
        <v>158</v>
      </c>
      <c r="J263" s="6" t="s">
        <v>528</v>
      </c>
      <c r="K263" s="6" t="n">
        <v>3</v>
      </c>
      <c r="L263" s="7" t="s">
        <v>596</v>
      </c>
      <c r="M263" s="6" t="n">
        <v>17</v>
      </c>
      <c r="N263" s="7" t="s">
        <v>24</v>
      </c>
    </row>
    <row r="264" customFormat="false" ht="29.85" hidden="false" customHeight="false" outlineLevel="0" collapsed="false">
      <c r="A264" s="6" t="n">
        <v>263</v>
      </c>
      <c r="B264" s="7" t="s">
        <v>522</v>
      </c>
      <c r="C264" s="7" t="s">
        <v>592</v>
      </c>
      <c r="D264" s="8" t="s">
        <v>628</v>
      </c>
      <c r="E264" s="7" t="s">
        <v>602</v>
      </c>
      <c r="F264" s="6" t="s">
        <v>526</v>
      </c>
      <c r="G264" s="7" t="s">
        <v>43</v>
      </c>
      <c r="H264" s="7" t="s">
        <v>20</v>
      </c>
      <c r="I264" s="7" t="s">
        <v>203</v>
      </c>
      <c r="J264" s="6" t="s">
        <v>528</v>
      </c>
      <c r="K264" s="6" t="n">
        <v>3</v>
      </c>
      <c r="L264" s="7" t="s">
        <v>596</v>
      </c>
      <c r="M264" s="6" t="n">
        <v>18</v>
      </c>
      <c r="N264" s="7" t="s">
        <v>24</v>
      </c>
    </row>
    <row r="265" customFormat="false" ht="29.85" hidden="false" customHeight="false" outlineLevel="0" collapsed="false">
      <c r="A265" s="6" t="n">
        <v>264</v>
      </c>
      <c r="B265" s="7" t="s">
        <v>522</v>
      </c>
      <c r="C265" s="7" t="s">
        <v>592</v>
      </c>
      <c r="D265" s="8" t="s">
        <v>629</v>
      </c>
      <c r="E265" s="7" t="s">
        <v>611</v>
      </c>
      <c r="F265" s="6" t="s">
        <v>526</v>
      </c>
      <c r="G265" s="7" t="s">
        <v>43</v>
      </c>
      <c r="H265" s="7" t="s">
        <v>20</v>
      </c>
      <c r="I265" s="7" t="s">
        <v>117</v>
      </c>
      <c r="J265" s="6" t="s">
        <v>528</v>
      </c>
      <c r="K265" s="6" t="n">
        <v>3</v>
      </c>
      <c r="L265" s="7" t="s">
        <v>596</v>
      </c>
      <c r="M265" s="6" t="n">
        <v>19</v>
      </c>
      <c r="N265" s="7" t="s">
        <v>24</v>
      </c>
    </row>
    <row r="266" customFormat="false" ht="29.85" hidden="false" customHeight="false" outlineLevel="0" collapsed="false">
      <c r="A266" s="6" t="n">
        <v>265</v>
      </c>
      <c r="B266" s="7" t="s">
        <v>522</v>
      </c>
      <c r="C266" s="7" t="s">
        <v>592</v>
      </c>
      <c r="D266" s="8" t="s">
        <v>630</v>
      </c>
      <c r="E266" s="7" t="s">
        <v>604</v>
      </c>
      <c r="F266" s="6" t="s">
        <v>82</v>
      </c>
      <c r="G266" s="7" t="s">
        <v>27</v>
      </c>
      <c r="H266" s="7" t="s">
        <v>38</v>
      </c>
      <c r="I266" s="7" t="s">
        <v>631</v>
      </c>
      <c r="J266" s="6" t="s">
        <v>528</v>
      </c>
      <c r="K266" s="6" t="n">
        <v>3</v>
      </c>
      <c r="L266" s="7" t="s">
        <v>596</v>
      </c>
      <c r="M266" s="6" t="n">
        <v>20</v>
      </c>
      <c r="N266" s="7" t="s">
        <v>40</v>
      </c>
    </row>
    <row r="267" customFormat="false" ht="29.85" hidden="false" customHeight="false" outlineLevel="0" collapsed="false">
      <c r="A267" s="6" t="n">
        <v>266</v>
      </c>
      <c r="B267" s="7" t="s">
        <v>522</v>
      </c>
      <c r="C267" s="7" t="s">
        <v>592</v>
      </c>
      <c r="D267" s="8" t="s">
        <v>632</v>
      </c>
      <c r="E267" s="7" t="s">
        <v>633</v>
      </c>
      <c r="F267" s="6" t="s">
        <v>526</v>
      </c>
      <c r="G267" s="7" t="s">
        <v>43</v>
      </c>
      <c r="H267" s="7" t="s">
        <v>20</v>
      </c>
      <c r="I267" s="7" t="s">
        <v>117</v>
      </c>
      <c r="J267" s="6" t="s">
        <v>528</v>
      </c>
      <c r="K267" s="6" t="n">
        <v>3</v>
      </c>
      <c r="L267" s="7" t="s">
        <v>596</v>
      </c>
      <c r="M267" s="6" t="n">
        <v>21</v>
      </c>
      <c r="N267" s="7" t="s">
        <v>24</v>
      </c>
    </row>
    <row r="268" customFormat="false" ht="29.85" hidden="false" customHeight="false" outlineLevel="0" collapsed="false">
      <c r="A268" s="6" t="n">
        <v>267</v>
      </c>
      <c r="B268" s="7" t="s">
        <v>522</v>
      </c>
      <c r="C268" s="7" t="s">
        <v>592</v>
      </c>
      <c r="D268" s="8" t="s">
        <v>634</v>
      </c>
      <c r="E268" s="7" t="s">
        <v>613</v>
      </c>
      <c r="F268" s="6" t="s">
        <v>526</v>
      </c>
      <c r="G268" s="7" t="s">
        <v>43</v>
      </c>
      <c r="H268" s="7" t="s">
        <v>38</v>
      </c>
      <c r="I268" s="7" t="s">
        <v>635</v>
      </c>
      <c r="J268" s="6" t="s">
        <v>528</v>
      </c>
      <c r="K268" s="6" t="n">
        <v>3</v>
      </c>
      <c r="L268" s="7" t="s">
        <v>596</v>
      </c>
      <c r="M268" s="6" t="n">
        <v>22</v>
      </c>
      <c r="N268" s="7" t="s">
        <v>40</v>
      </c>
    </row>
    <row r="269" customFormat="false" ht="29.85" hidden="false" customHeight="false" outlineLevel="0" collapsed="false">
      <c r="A269" s="6" t="n">
        <v>268</v>
      </c>
      <c r="B269" s="7" t="s">
        <v>522</v>
      </c>
      <c r="C269" s="7" t="s">
        <v>592</v>
      </c>
      <c r="D269" s="8" t="s">
        <v>636</v>
      </c>
      <c r="E269" s="7" t="s">
        <v>611</v>
      </c>
      <c r="F269" s="6" t="s">
        <v>526</v>
      </c>
      <c r="G269" s="7" t="s">
        <v>43</v>
      </c>
      <c r="H269" s="7" t="s">
        <v>38</v>
      </c>
      <c r="I269" s="7" t="s">
        <v>637</v>
      </c>
      <c r="J269" s="6" t="s">
        <v>528</v>
      </c>
      <c r="K269" s="6" t="n">
        <v>3</v>
      </c>
      <c r="L269" s="7" t="s">
        <v>596</v>
      </c>
      <c r="M269" s="6" t="n">
        <v>23</v>
      </c>
      <c r="N269" s="7" t="s">
        <v>40</v>
      </c>
    </row>
    <row r="270" customFormat="false" ht="29.85" hidden="false" customHeight="false" outlineLevel="0" collapsed="false">
      <c r="A270" s="6" t="n">
        <v>269</v>
      </c>
      <c r="B270" s="7" t="s">
        <v>522</v>
      </c>
      <c r="C270" s="7" t="s">
        <v>592</v>
      </c>
      <c r="D270" s="8" t="s">
        <v>638</v>
      </c>
      <c r="E270" s="7" t="s">
        <v>625</v>
      </c>
      <c r="F270" s="6" t="s">
        <v>526</v>
      </c>
      <c r="G270" s="7" t="s">
        <v>43</v>
      </c>
      <c r="H270" s="7" t="s">
        <v>38</v>
      </c>
      <c r="I270" s="7" t="s">
        <v>312</v>
      </c>
      <c r="J270" s="6" t="s">
        <v>528</v>
      </c>
      <c r="K270" s="6" t="n">
        <v>3</v>
      </c>
      <c r="L270" s="7" t="s">
        <v>596</v>
      </c>
      <c r="M270" s="6" t="n">
        <v>24</v>
      </c>
      <c r="N270" s="7" t="s">
        <v>40</v>
      </c>
    </row>
    <row r="271" customFormat="false" ht="29.85" hidden="false" customHeight="false" outlineLevel="0" collapsed="false">
      <c r="A271" s="6" t="n">
        <v>270</v>
      </c>
      <c r="B271" s="7" t="s">
        <v>522</v>
      </c>
      <c r="C271" s="7" t="s">
        <v>592</v>
      </c>
      <c r="D271" s="8" t="s">
        <v>639</v>
      </c>
      <c r="E271" s="7" t="s">
        <v>615</v>
      </c>
      <c r="F271" s="6" t="s">
        <v>526</v>
      </c>
      <c r="G271" s="7" t="s">
        <v>43</v>
      </c>
      <c r="H271" s="7" t="s">
        <v>38</v>
      </c>
      <c r="I271" s="7" t="s">
        <v>640</v>
      </c>
      <c r="J271" s="6" t="s">
        <v>528</v>
      </c>
      <c r="K271" s="6" t="n">
        <v>3</v>
      </c>
      <c r="L271" s="7" t="s">
        <v>596</v>
      </c>
      <c r="M271" s="6" t="n">
        <v>25</v>
      </c>
      <c r="N271" s="7" t="s">
        <v>40</v>
      </c>
    </row>
    <row r="272" customFormat="false" ht="44" hidden="false" customHeight="false" outlineLevel="0" collapsed="false">
      <c r="A272" s="6" t="n">
        <v>271</v>
      </c>
      <c r="B272" s="7" t="s">
        <v>522</v>
      </c>
      <c r="C272" s="7" t="s">
        <v>592</v>
      </c>
      <c r="D272" s="8" t="s">
        <v>641</v>
      </c>
      <c r="E272" s="7" t="s">
        <v>642</v>
      </c>
      <c r="F272" s="6" t="s">
        <v>526</v>
      </c>
      <c r="G272" s="7" t="s">
        <v>43</v>
      </c>
      <c r="H272" s="7" t="s">
        <v>38</v>
      </c>
      <c r="I272" s="7" t="s">
        <v>643</v>
      </c>
      <c r="J272" s="6" t="s">
        <v>528</v>
      </c>
      <c r="K272" s="6" t="n">
        <v>3</v>
      </c>
      <c r="L272" s="7" t="s">
        <v>596</v>
      </c>
      <c r="M272" s="6" t="n">
        <v>26</v>
      </c>
      <c r="N272" s="7" t="s">
        <v>40</v>
      </c>
    </row>
    <row r="273" customFormat="false" ht="15" hidden="false" customHeight="false" outlineLevel="0" collapsed="false">
      <c r="A273" s="6" t="n">
        <v>272</v>
      </c>
      <c r="B273" s="7" t="s">
        <v>644</v>
      </c>
      <c r="C273" s="7" t="s">
        <v>645</v>
      </c>
      <c r="D273" s="8" t="s">
        <v>646</v>
      </c>
      <c r="E273" s="7" t="s">
        <v>647</v>
      </c>
      <c r="F273" s="6" t="s">
        <v>526</v>
      </c>
      <c r="G273" s="7" t="s">
        <v>43</v>
      </c>
      <c r="H273" s="7" t="s">
        <v>20</v>
      </c>
      <c r="I273" s="7" t="s">
        <v>648</v>
      </c>
      <c r="J273" s="6" t="s">
        <v>528</v>
      </c>
      <c r="K273" s="6" t="n">
        <v>4</v>
      </c>
      <c r="L273" s="7" t="s">
        <v>649</v>
      </c>
      <c r="M273" s="6" t="n">
        <v>1</v>
      </c>
      <c r="N273" s="7" t="s">
        <v>24</v>
      </c>
    </row>
    <row r="274" customFormat="false" ht="29.85" hidden="false" customHeight="false" outlineLevel="0" collapsed="false">
      <c r="A274" s="6" t="n">
        <v>273</v>
      </c>
      <c r="B274" s="7" t="s">
        <v>644</v>
      </c>
      <c r="C274" s="7" t="s">
        <v>645</v>
      </c>
      <c r="D274" s="8" t="s">
        <v>650</v>
      </c>
      <c r="E274" s="7" t="s">
        <v>651</v>
      </c>
      <c r="F274" s="6" t="s">
        <v>526</v>
      </c>
      <c r="G274" s="7" t="s">
        <v>43</v>
      </c>
      <c r="H274" s="7" t="s">
        <v>20</v>
      </c>
      <c r="I274" s="7" t="s">
        <v>117</v>
      </c>
      <c r="J274" s="6" t="s">
        <v>528</v>
      </c>
      <c r="K274" s="6" t="n">
        <v>4</v>
      </c>
      <c r="L274" s="7" t="s">
        <v>649</v>
      </c>
      <c r="M274" s="6" t="n">
        <v>2</v>
      </c>
      <c r="N274" s="7" t="s">
        <v>24</v>
      </c>
    </row>
    <row r="275" customFormat="false" ht="29.85" hidden="false" customHeight="false" outlineLevel="0" collapsed="false">
      <c r="A275" s="6" t="n">
        <v>274</v>
      </c>
      <c r="B275" s="7" t="s">
        <v>644</v>
      </c>
      <c r="C275" s="7" t="s">
        <v>645</v>
      </c>
      <c r="D275" s="8" t="s">
        <v>652</v>
      </c>
      <c r="E275" s="7" t="s">
        <v>653</v>
      </c>
      <c r="F275" s="6" t="s">
        <v>526</v>
      </c>
      <c r="G275" s="7" t="s">
        <v>43</v>
      </c>
      <c r="H275" s="7" t="s">
        <v>38</v>
      </c>
      <c r="I275" s="7" t="s">
        <v>421</v>
      </c>
      <c r="J275" s="6" t="s">
        <v>528</v>
      </c>
      <c r="K275" s="6" t="n">
        <v>4</v>
      </c>
      <c r="L275" s="7" t="s">
        <v>649</v>
      </c>
      <c r="M275" s="6" t="n">
        <v>3</v>
      </c>
      <c r="N275" s="7" t="s">
        <v>40</v>
      </c>
    </row>
    <row r="276" customFormat="false" ht="29.85" hidden="false" customHeight="false" outlineLevel="0" collapsed="false">
      <c r="A276" s="6" t="n">
        <v>275</v>
      </c>
      <c r="B276" s="7" t="s">
        <v>644</v>
      </c>
      <c r="C276" s="7" t="s">
        <v>645</v>
      </c>
      <c r="D276" s="8" t="s">
        <v>654</v>
      </c>
      <c r="E276" s="7" t="s">
        <v>655</v>
      </c>
      <c r="F276" s="6" t="s">
        <v>526</v>
      </c>
      <c r="G276" s="7" t="s">
        <v>43</v>
      </c>
      <c r="H276" s="7" t="s">
        <v>38</v>
      </c>
      <c r="I276" s="7" t="s">
        <v>565</v>
      </c>
      <c r="J276" s="6" t="s">
        <v>528</v>
      </c>
      <c r="K276" s="6" t="n">
        <v>4</v>
      </c>
      <c r="L276" s="7" t="s">
        <v>649</v>
      </c>
      <c r="M276" s="6" t="n">
        <v>4</v>
      </c>
      <c r="N276" s="7" t="s">
        <v>40</v>
      </c>
    </row>
    <row r="277" customFormat="false" ht="44" hidden="false" customHeight="false" outlineLevel="0" collapsed="false">
      <c r="A277" s="6" t="n">
        <v>276</v>
      </c>
      <c r="B277" s="7" t="s">
        <v>644</v>
      </c>
      <c r="C277" s="7" t="s">
        <v>645</v>
      </c>
      <c r="D277" s="8" t="s">
        <v>656</v>
      </c>
      <c r="E277" s="7" t="s">
        <v>651</v>
      </c>
      <c r="F277" s="6" t="s">
        <v>526</v>
      </c>
      <c r="G277" s="7" t="s">
        <v>43</v>
      </c>
      <c r="H277" s="7" t="s">
        <v>38</v>
      </c>
      <c r="I277" s="7" t="s">
        <v>127</v>
      </c>
      <c r="J277" s="6" t="s">
        <v>528</v>
      </c>
      <c r="K277" s="6" t="n">
        <v>4</v>
      </c>
      <c r="L277" s="7" t="s">
        <v>649</v>
      </c>
      <c r="M277" s="6" t="n">
        <v>5</v>
      </c>
      <c r="N277" s="7" t="s">
        <v>40</v>
      </c>
    </row>
    <row r="278" customFormat="false" ht="15" hidden="false" customHeight="false" outlineLevel="0" collapsed="false">
      <c r="A278" s="6" t="n">
        <v>277</v>
      </c>
      <c r="B278" s="7" t="s">
        <v>566</v>
      </c>
      <c r="C278" s="7" t="s">
        <v>657</v>
      </c>
      <c r="D278" s="8" t="s">
        <v>658</v>
      </c>
      <c r="E278" s="7" t="s">
        <v>659</v>
      </c>
      <c r="F278" s="6" t="s">
        <v>526</v>
      </c>
      <c r="G278" s="7" t="s">
        <v>43</v>
      </c>
      <c r="H278" s="7" t="s">
        <v>20</v>
      </c>
      <c r="I278" s="7" t="s">
        <v>34</v>
      </c>
      <c r="J278" s="6" t="s">
        <v>528</v>
      </c>
      <c r="K278" s="6" t="n">
        <v>5</v>
      </c>
      <c r="L278" s="7" t="s">
        <v>660</v>
      </c>
      <c r="M278" s="6" t="n">
        <v>1</v>
      </c>
      <c r="N278" s="7" t="s">
        <v>24</v>
      </c>
    </row>
    <row r="279" customFormat="false" ht="15" hidden="false" customHeight="false" outlineLevel="0" collapsed="false">
      <c r="A279" s="6" t="n">
        <v>278</v>
      </c>
      <c r="B279" s="7" t="s">
        <v>566</v>
      </c>
      <c r="C279" s="7" t="s">
        <v>657</v>
      </c>
      <c r="D279" s="8" t="s">
        <v>661</v>
      </c>
      <c r="E279" s="7" t="s">
        <v>662</v>
      </c>
      <c r="F279" s="6" t="s">
        <v>526</v>
      </c>
      <c r="G279" s="7" t="s">
        <v>43</v>
      </c>
      <c r="H279" s="7" t="s">
        <v>20</v>
      </c>
      <c r="I279" s="7" t="s">
        <v>44</v>
      </c>
      <c r="J279" s="6" t="s">
        <v>528</v>
      </c>
      <c r="K279" s="6" t="n">
        <v>5</v>
      </c>
      <c r="L279" s="7" t="s">
        <v>660</v>
      </c>
      <c r="M279" s="6" t="n">
        <v>2</v>
      </c>
      <c r="N279" s="7" t="s">
        <v>24</v>
      </c>
    </row>
    <row r="280" customFormat="false" ht="15" hidden="false" customHeight="false" outlineLevel="0" collapsed="false">
      <c r="A280" s="6" t="n">
        <v>279</v>
      </c>
      <c r="B280" s="7" t="s">
        <v>566</v>
      </c>
      <c r="C280" s="7" t="s">
        <v>657</v>
      </c>
      <c r="D280" s="8" t="s">
        <v>663</v>
      </c>
      <c r="E280" s="7" t="s">
        <v>664</v>
      </c>
      <c r="F280" s="6" t="s">
        <v>526</v>
      </c>
      <c r="G280" s="7" t="s">
        <v>43</v>
      </c>
      <c r="H280" s="7" t="s">
        <v>20</v>
      </c>
      <c r="I280" s="7" t="s">
        <v>183</v>
      </c>
      <c r="J280" s="6" t="s">
        <v>528</v>
      </c>
      <c r="K280" s="6" t="n">
        <v>5</v>
      </c>
      <c r="L280" s="7" t="s">
        <v>660</v>
      </c>
      <c r="M280" s="6" t="n">
        <v>3</v>
      </c>
      <c r="N280" s="7" t="s">
        <v>24</v>
      </c>
    </row>
    <row r="281" customFormat="false" ht="29.85" hidden="false" customHeight="false" outlineLevel="0" collapsed="false">
      <c r="A281" s="6" t="n">
        <v>280</v>
      </c>
      <c r="B281" s="7" t="s">
        <v>566</v>
      </c>
      <c r="C281" s="7" t="s">
        <v>657</v>
      </c>
      <c r="D281" s="8" t="s">
        <v>665</v>
      </c>
      <c r="E281" s="7" t="s">
        <v>659</v>
      </c>
      <c r="F281" s="6" t="s">
        <v>526</v>
      </c>
      <c r="G281" s="7" t="s">
        <v>43</v>
      </c>
      <c r="H281" s="7" t="s">
        <v>20</v>
      </c>
      <c r="I281" s="7" t="s">
        <v>192</v>
      </c>
      <c r="J281" s="6" t="s">
        <v>528</v>
      </c>
      <c r="K281" s="6" t="n">
        <v>5</v>
      </c>
      <c r="L281" s="7" t="s">
        <v>660</v>
      </c>
      <c r="M281" s="6" t="n">
        <v>4</v>
      </c>
      <c r="N281" s="7" t="s">
        <v>24</v>
      </c>
    </row>
    <row r="282" customFormat="false" ht="29.85" hidden="false" customHeight="false" outlineLevel="0" collapsed="false">
      <c r="A282" s="6" t="n">
        <v>281</v>
      </c>
      <c r="B282" s="7" t="s">
        <v>566</v>
      </c>
      <c r="C282" s="7" t="s">
        <v>657</v>
      </c>
      <c r="D282" s="8" t="s">
        <v>666</v>
      </c>
      <c r="E282" s="7" t="s">
        <v>667</v>
      </c>
      <c r="F282" s="6" t="s">
        <v>526</v>
      </c>
      <c r="G282" s="7" t="s">
        <v>43</v>
      </c>
      <c r="H282" s="7" t="s">
        <v>38</v>
      </c>
      <c r="I282" s="7" t="s">
        <v>372</v>
      </c>
      <c r="J282" s="6" t="s">
        <v>528</v>
      </c>
      <c r="K282" s="6" t="n">
        <v>5</v>
      </c>
      <c r="L282" s="7" t="s">
        <v>660</v>
      </c>
      <c r="M282" s="6" t="n">
        <v>5</v>
      </c>
      <c r="N282" s="7" t="s">
        <v>40</v>
      </c>
    </row>
    <row r="283" customFormat="false" ht="29.85" hidden="false" customHeight="false" outlineLevel="0" collapsed="false">
      <c r="A283" s="6" t="n">
        <v>282</v>
      </c>
      <c r="B283" s="7" t="s">
        <v>566</v>
      </c>
      <c r="C283" s="7" t="s">
        <v>657</v>
      </c>
      <c r="D283" s="8" t="s">
        <v>668</v>
      </c>
      <c r="E283" s="7" t="s">
        <v>669</v>
      </c>
      <c r="F283" s="6" t="s">
        <v>526</v>
      </c>
      <c r="G283" s="7" t="s">
        <v>43</v>
      </c>
      <c r="H283" s="7" t="s">
        <v>20</v>
      </c>
      <c r="I283" s="7" t="s">
        <v>49</v>
      </c>
      <c r="J283" s="6" t="s">
        <v>528</v>
      </c>
      <c r="K283" s="6" t="n">
        <v>5</v>
      </c>
      <c r="L283" s="7" t="s">
        <v>660</v>
      </c>
      <c r="M283" s="6" t="n">
        <v>6</v>
      </c>
      <c r="N283" s="7" t="s">
        <v>24</v>
      </c>
    </row>
    <row r="284" customFormat="false" ht="29.85" hidden="false" customHeight="false" outlineLevel="0" collapsed="false">
      <c r="A284" s="6" t="n">
        <v>283</v>
      </c>
      <c r="B284" s="7" t="s">
        <v>566</v>
      </c>
      <c r="C284" s="7" t="s">
        <v>657</v>
      </c>
      <c r="D284" s="8" t="s">
        <v>670</v>
      </c>
      <c r="E284" s="7" t="s">
        <v>664</v>
      </c>
      <c r="F284" s="6" t="s">
        <v>526</v>
      </c>
      <c r="G284" s="7" t="s">
        <v>43</v>
      </c>
      <c r="H284" s="7" t="s">
        <v>20</v>
      </c>
      <c r="I284" s="7" t="s">
        <v>150</v>
      </c>
      <c r="J284" s="6" t="s">
        <v>528</v>
      </c>
      <c r="K284" s="6" t="n">
        <v>5</v>
      </c>
      <c r="L284" s="7" t="s">
        <v>660</v>
      </c>
      <c r="M284" s="6" t="n">
        <v>7</v>
      </c>
      <c r="N284" s="7" t="s">
        <v>24</v>
      </c>
    </row>
    <row r="285" customFormat="false" ht="29.85" hidden="false" customHeight="false" outlineLevel="0" collapsed="false">
      <c r="A285" s="6" t="n">
        <v>284</v>
      </c>
      <c r="B285" s="7" t="s">
        <v>566</v>
      </c>
      <c r="C285" s="7" t="s">
        <v>657</v>
      </c>
      <c r="D285" s="8" t="s">
        <v>671</v>
      </c>
      <c r="E285" s="7" t="s">
        <v>672</v>
      </c>
      <c r="F285" s="6" t="s">
        <v>526</v>
      </c>
      <c r="G285" s="7" t="s">
        <v>43</v>
      </c>
      <c r="H285" s="7" t="s">
        <v>20</v>
      </c>
      <c r="I285" s="7" t="s">
        <v>112</v>
      </c>
      <c r="J285" s="6" t="s">
        <v>528</v>
      </c>
      <c r="K285" s="6" t="n">
        <v>5</v>
      </c>
      <c r="L285" s="7" t="s">
        <v>660</v>
      </c>
      <c r="M285" s="6" t="n">
        <v>8</v>
      </c>
      <c r="N285" s="7" t="s">
        <v>24</v>
      </c>
    </row>
    <row r="286" customFormat="false" ht="29.85" hidden="false" customHeight="false" outlineLevel="0" collapsed="false">
      <c r="A286" s="6" t="n">
        <v>285</v>
      </c>
      <c r="B286" s="7" t="s">
        <v>566</v>
      </c>
      <c r="C286" s="7" t="s">
        <v>657</v>
      </c>
      <c r="D286" s="8" t="s">
        <v>673</v>
      </c>
      <c r="E286" s="7" t="s">
        <v>674</v>
      </c>
      <c r="F286" s="6" t="s">
        <v>526</v>
      </c>
      <c r="G286" s="7" t="s">
        <v>43</v>
      </c>
      <c r="H286" s="7" t="s">
        <v>20</v>
      </c>
      <c r="I286" s="7" t="s">
        <v>295</v>
      </c>
      <c r="J286" s="6" t="s">
        <v>528</v>
      </c>
      <c r="K286" s="6" t="n">
        <v>5</v>
      </c>
      <c r="L286" s="7" t="s">
        <v>660</v>
      </c>
      <c r="M286" s="6" t="n">
        <v>9</v>
      </c>
      <c r="N286" s="7" t="s">
        <v>24</v>
      </c>
    </row>
    <row r="287" customFormat="false" ht="29.85" hidden="false" customHeight="false" outlineLevel="0" collapsed="false">
      <c r="A287" s="6" t="n">
        <v>286</v>
      </c>
      <c r="B287" s="7" t="s">
        <v>566</v>
      </c>
      <c r="C287" s="7" t="s">
        <v>657</v>
      </c>
      <c r="D287" s="8" t="s">
        <v>675</v>
      </c>
      <c r="E287" s="7" t="s">
        <v>667</v>
      </c>
      <c r="F287" s="6" t="s">
        <v>526</v>
      </c>
      <c r="G287" s="7" t="s">
        <v>43</v>
      </c>
      <c r="H287" s="7" t="s">
        <v>38</v>
      </c>
      <c r="I287" s="7" t="s">
        <v>676</v>
      </c>
      <c r="J287" s="6" t="s">
        <v>528</v>
      </c>
      <c r="K287" s="6" t="n">
        <v>5</v>
      </c>
      <c r="L287" s="7" t="s">
        <v>660</v>
      </c>
      <c r="M287" s="6" t="n">
        <v>10</v>
      </c>
      <c r="N287" s="7" t="s">
        <v>40</v>
      </c>
    </row>
    <row r="288" customFormat="false" ht="29.85" hidden="false" customHeight="false" outlineLevel="0" collapsed="false">
      <c r="A288" s="6" t="n">
        <v>287</v>
      </c>
      <c r="B288" s="7" t="s">
        <v>566</v>
      </c>
      <c r="C288" s="7" t="s">
        <v>657</v>
      </c>
      <c r="D288" s="8" t="s">
        <v>677</v>
      </c>
      <c r="E288" s="7" t="s">
        <v>678</v>
      </c>
      <c r="F288" s="6" t="s">
        <v>526</v>
      </c>
      <c r="G288" s="7" t="s">
        <v>43</v>
      </c>
      <c r="H288" s="7" t="s">
        <v>38</v>
      </c>
      <c r="I288" s="7" t="s">
        <v>679</v>
      </c>
      <c r="J288" s="6" t="s">
        <v>528</v>
      </c>
      <c r="K288" s="6" t="n">
        <v>5</v>
      </c>
      <c r="L288" s="7" t="s">
        <v>660</v>
      </c>
      <c r="M288" s="6" t="n">
        <v>11</v>
      </c>
      <c r="N288" s="7" t="s">
        <v>40</v>
      </c>
    </row>
    <row r="289" customFormat="false" ht="29.85" hidden="false" customHeight="false" outlineLevel="0" collapsed="false">
      <c r="A289" s="6" t="n">
        <v>288</v>
      </c>
      <c r="B289" s="7" t="s">
        <v>566</v>
      </c>
      <c r="C289" s="7" t="s">
        <v>657</v>
      </c>
      <c r="D289" s="8" t="s">
        <v>680</v>
      </c>
      <c r="E289" s="7" t="s">
        <v>667</v>
      </c>
      <c r="F289" s="6" t="s">
        <v>526</v>
      </c>
      <c r="G289" s="7" t="s">
        <v>43</v>
      </c>
      <c r="H289" s="7" t="s">
        <v>38</v>
      </c>
      <c r="I289" s="7" t="s">
        <v>681</v>
      </c>
      <c r="J289" s="6" t="s">
        <v>528</v>
      </c>
      <c r="K289" s="6" t="n">
        <v>5</v>
      </c>
      <c r="L289" s="7" t="s">
        <v>660</v>
      </c>
      <c r="M289" s="6" t="n">
        <v>12</v>
      </c>
      <c r="N289" s="7" t="s">
        <v>40</v>
      </c>
    </row>
    <row r="290" customFormat="false" ht="29.85" hidden="false" customHeight="false" outlineLevel="0" collapsed="false">
      <c r="A290" s="6" t="n">
        <v>289</v>
      </c>
      <c r="B290" s="7" t="s">
        <v>566</v>
      </c>
      <c r="C290" s="7" t="s">
        <v>657</v>
      </c>
      <c r="D290" s="8" t="s">
        <v>682</v>
      </c>
      <c r="E290" s="7" t="s">
        <v>674</v>
      </c>
      <c r="F290" s="6" t="s">
        <v>526</v>
      </c>
      <c r="G290" s="7" t="s">
        <v>43</v>
      </c>
      <c r="H290" s="7" t="s">
        <v>38</v>
      </c>
      <c r="I290" s="7" t="s">
        <v>125</v>
      </c>
      <c r="J290" s="6" t="s">
        <v>528</v>
      </c>
      <c r="K290" s="6" t="n">
        <v>5</v>
      </c>
      <c r="L290" s="7" t="s">
        <v>660</v>
      </c>
      <c r="M290" s="6" t="n">
        <v>13</v>
      </c>
      <c r="N290" s="7" t="s">
        <v>40</v>
      </c>
    </row>
    <row r="291" customFormat="false" ht="29.85" hidden="false" customHeight="false" outlineLevel="0" collapsed="false">
      <c r="A291" s="6" t="n">
        <v>290</v>
      </c>
      <c r="B291" s="7" t="s">
        <v>566</v>
      </c>
      <c r="C291" s="7" t="s">
        <v>657</v>
      </c>
      <c r="D291" s="8" t="s">
        <v>683</v>
      </c>
      <c r="E291" s="7" t="s">
        <v>684</v>
      </c>
      <c r="F291" s="6" t="s">
        <v>526</v>
      </c>
      <c r="G291" s="7" t="s">
        <v>43</v>
      </c>
      <c r="H291" s="7" t="s">
        <v>38</v>
      </c>
      <c r="I291" s="7" t="s">
        <v>685</v>
      </c>
      <c r="J291" s="6" t="s">
        <v>528</v>
      </c>
      <c r="K291" s="6" t="n">
        <v>5</v>
      </c>
      <c r="L291" s="7" t="s">
        <v>660</v>
      </c>
      <c r="M291" s="6" t="n">
        <v>14</v>
      </c>
      <c r="N291" s="7" t="s">
        <v>40</v>
      </c>
    </row>
    <row r="292" customFormat="false" ht="44" hidden="false" customHeight="false" outlineLevel="0" collapsed="false">
      <c r="A292" s="6" t="n">
        <v>291</v>
      </c>
      <c r="B292" s="7" t="s">
        <v>566</v>
      </c>
      <c r="C292" s="7" t="s">
        <v>657</v>
      </c>
      <c r="D292" s="8" t="s">
        <v>686</v>
      </c>
      <c r="E292" s="7" t="s">
        <v>684</v>
      </c>
      <c r="F292" s="6" t="s">
        <v>526</v>
      </c>
      <c r="G292" s="7" t="s">
        <v>43</v>
      </c>
      <c r="H292" s="7" t="s">
        <v>38</v>
      </c>
      <c r="I292" s="7" t="s">
        <v>687</v>
      </c>
      <c r="J292" s="6" t="s">
        <v>528</v>
      </c>
      <c r="K292" s="6" t="n">
        <v>5</v>
      </c>
      <c r="L292" s="7" t="s">
        <v>660</v>
      </c>
      <c r="M292" s="6" t="n">
        <v>15</v>
      </c>
      <c r="N292" s="7" t="s">
        <v>40</v>
      </c>
    </row>
    <row r="293" customFormat="false" ht="58.2" hidden="false" customHeight="false" outlineLevel="0" collapsed="false">
      <c r="A293" s="6" t="n">
        <v>292</v>
      </c>
      <c r="B293" s="7" t="s">
        <v>566</v>
      </c>
      <c r="C293" s="7" t="s">
        <v>657</v>
      </c>
      <c r="D293" s="8" t="s">
        <v>688</v>
      </c>
      <c r="E293" s="7" t="s">
        <v>659</v>
      </c>
      <c r="F293" s="6" t="s">
        <v>526</v>
      </c>
      <c r="G293" s="7" t="s">
        <v>43</v>
      </c>
      <c r="H293" s="7" t="s">
        <v>38</v>
      </c>
      <c r="I293" s="7" t="s">
        <v>689</v>
      </c>
      <c r="J293" s="6" t="s">
        <v>528</v>
      </c>
      <c r="K293" s="6" t="n">
        <v>5</v>
      </c>
      <c r="L293" s="7" t="s">
        <v>660</v>
      </c>
      <c r="M293" s="6" t="n">
        <v>16</v>
      </c>
      <c r="N293" s="7" t="s">
        <v>40</v>
      </c>
    </row>
    <row r="294" customFormat="false" ht="15" hidden="false" customHeight="false" outlineLevel="0" collapsed="false">
      <c r="A294" s="6" t="n">
        <v>293</v>
      </c>
      <c r="B294" s="7" t="s">
        <v>644</v>
      </c>
      <c r="C294" s="7" t="s">
        <v>690</v>
      </c>
      <c r="D294" s="8" t="s">
        <v>691</v>
      </c>
      <c r="E294" s="7" t="s">
        <v>690</v>
      </c>
      <c r="F294" s="6" t="s">
        <v>526</v>
      </c>
      <c r="G294" s="7" t="s">
        <v>43</v>
      </c>
      <c r="H294" s="7" t="s">
        <v>20</v>
      </c>
      <c r="I294" s="7" t="s">
        <v>32</v>
      </c>
      <c r="J294" s="6" t="s">
        <v>528</v>
      </c>
      <c r="K294" s="6" t="n">
        <v>6</v>
      </c>
      <c r="L294" s="7" t="s">
        <v>692</v>
      </c>
      <c r="M294" s="6" t="n">
        <v>1</v>
      </c>
      <c r="N294" s="7" t="s">
        <v>24</v>
      </c>
    </row>
    <row r="295" customFormat="false" ht="15" hidden="false" customHeight="false" outlineLevel="0" collapsed="false">
      <c r="A295" s="6" t="n">
        <v>294</v>
      </c>
      <c r="B295" s="7" t="s">
        <v>644</v>
      </c>
      <c r="C295" s="7" t="s">
        <v>690</v>
      </c>
      <c r="D295" s="8" t="s">
        <v>693</v>
      </c>
      <c r="E295" s="7" t="s">
        <v>694</v>
      </c>
      <c r="F295" s="6" t="s">
        <v>526</v>
      </c>
      <c r="G295" s="7" t="s">
        <v>43</v>
      </c>
      <c r="H295" s="7" t="s">
        <v>20</v>
      </c>
      <c r="I295" s="7" t="s">
        <v>32</v>
      </c>
      <c r="J295" s="6" t="s">
        <v>528</v>
      </c>
      <c r="K295" s="6" t="n">
        <v>6</v>
      </c>
      <c r="L295" s="7" t="s">
        <v>692</v>
      </c>
      <c r="M295" s="6" t="n">
        <v>2</v>
      </c>
      <c r="N295" s="7" t="s">
        <v>24</v>
      </c>
    </row>
    <row r="296" customFormat="false" ht="29.85" hidden="false" customHeight="false" outlineLevel="0" collapsed="false">
      <c r="A296" s="6" t="n">
        <v>295</v>
      </c>
      <c r="B296" s="7" t="s">
        <v>644</v>
      </c>
      <c r="C296" s="7" t="s">
        <v>690</v>
      </c>
      <c r="D296" s="8" t="s">
        <v>695</v>
      </c>
      <c r="E296" s="7" t="s">
        <v>696</v>
      </c>
      <c r="F296" s="6" t="s">
        <v>526</v>
      </c>
      <c r="G296" s="7" t="s">
        <v>43</v>
      </c>
      <c r="H296" s="7" t="s">
        <v>20</v>
      </c>
      <c r="I296" s="7" t="s">
        <v>243</v>
      </c>
      <c r="J296" s="6" t="s">
        <v>528</v>
      </c>
      <c r="K296" s="6" t="n">
        <v>6</v>
      </c>
      <c r="L296" s="7" t="s">
        <v>692</v>
      </c>
      <c r="M296" s="6" t="n">
        <v>3</v>
      </c>
      <c r="N296" s="7" t="s">
        <v>24</v>
      </c>
    </row>
    <row r="297" customFormat="false" ht="29.85" hidden="false" customHeight="false" outlineLevel="0" collapsed="false">
      <c r="A297" s="6" t="n">
        <v>296</v>
      </c>
      <c r="B297" s="7" t="s">
        <v>644</v>
      </c>
      <c r="C297" s="7" t="s">
        <v>690</v>
      </c>
      <c r="D297" s="8" t="s">
        <v>697</v>
      </c>
      <c r="E297" s="7" t="s">
        <v>698</v>
      </c>
      <c r="F297" s="6" t="s">
        <v>526</v>
      </c>
      <c r="G297" s="7" t="s">
        <v>43</v>
      </c>
      <c r="H297" s="7" t="s">
        <v>20</v>
      </c>
      <c r="I297" s="7" t="s">
        <v>254</v>
      </c>
      <c r="J297" s="6" t="s">
        <v>528</v>
      </c>
      <c r="K297" s="6" t="n">
        <v>6</v>
      </c>
      <c r="L297" s="7" t="s">
        <v>692</v>
      </c>
      <c r="M297" s="6" t="n">
        <v>4</v>
      </c>
      <c r="N297" s="7" t="s">
        <v>24</v>
      </c>
    </row>
    <row r="298" customFormat="false" ht="29.85" hidden="false" customHeight="false" outlineLevel="0" collapsed="false">
      <c r="A298" s="6" t="n">
        <v>297</v>
      </c>
      <c r="B298" s="7" t="s">
        <v>644</v>
      </c>
      <c r="C298" s="7" t="s">
        <v>690</v>
      </c>
      <c r="D298" s="8" t="s">
        <v>699</v>
      </c>
      <c r="E298" s="7" t="s">
        <v>700</v>
      </c>
      <c r="F298" s="6" t="s">
        <v>526</v>
      </c>
      <c r="G298" s="7" t="s">
        <v>43</v>
      </c>
      <c r="H298" s="7" t="s">
        <v>38</v>
      </c>
      <c r="I298" s="7" t="s">
        <v>372</v>
      </c>
      <c r="J298" s="6" t="s">
        <v>528</v>
      </c>
      <c r="K298" s="6" t="n">
        <v>6</v>
      </c>
      <c r="L298" s="7" t="s">
        <v>692</v>
      </c>
      <c r="M298" s="6" t="n">
        <v>5</v>
      </c>
      <c r="N298" s="7" t="s">
        <v>40</v>
      </c>
    </row>
    <row r="299" customFormat="false" ht="29.85" hidden="false" customHeight="false" outlineLevel="0" collapsed="false">
      <c r="A299" s="6" t="n">
        <v>298</v>
      </c>
      <c r="B299" s="7" t="s">
        <v>644</v>
      </c>
      <c r="C299" s="7" t="s">
        <v>690</v>
      </c>
      <c r="D299" s="8" t="s">
        <v>701</v>
      </c>
      <c r="E299" s="7" t="s">
        <v>694</v>
      </c>
      <c r="F299" s="6" t="s">
        <v>526</v>
      </c>
      <c r="G299" s="7" t="s">
        <v>43</v>
      </c>
      <c r="H299" s="7" t="s">
        <v>20</v>
      </c>
      <c r="I299" s="7" t="s">
        <v>254</v>
      </c>
      <c r="J299" s="6" t="s">
        <v>528</v>
      </c>
      <c r="K299" s="6" t="n">
        <v>6</v>
      </c>
      <c r="L299" s="7" t="s">
        <v>692</v>
      </c>
      <c r="M299" s="6" t="n">
        <v>6</v>
      </c>
      <c r="N299" s="7" t="s">
        <v>24</v>
      </c>
    </row>
    <row r="300" customFormat="false" ht="29.85" hidden="false" customHeight="false" outlineLevel="0" collapsed="false">
      <c r="A300" s="6" t="n">
        <v>299</v>
      </c>
      <c r="B300" s="7" t="s">
        <v>644</v>
      </c>
      <c r="C300" s="7" t="s">
        <v>690</v>
      </c>
      <c r="D300" s="8" t="s">
        <v>702</v>
      </c>
      <c r="E300" s="7" t="s">
        <v>703</v>
      </c>
      <c r="F300" s="6" t="s">
        <v>526</v>
      </c>
      <c r="G300" s="7" t="s">
        <v>43</v>
      </c>
      <c r="H300" s="7" t="s">
        <v>20</v>
      </c>
      <c r="I300" s="7" t="s">
        <v>457</v>
      </c>
      <c r="J300" s="6" t="s">
        <v>528</v>
      </c>
      <c r="K300" s="6" t="n">
        <v>6</v>
      </c>
      <c r="L300" s="7" t="s">
        <v>692</v>
      </c>
      <c r="M300" s="6" t="n">
        <v>7</v>
      </c>
      <c r="N300" s="7" t="s">
        <v>24</v>
      </c>
    </row>
    <row r="301" customFormat="false" ht="29.85" hidden="false" customHeight="false" outlineLevel="0" collapsed="false">
      <c r="A301" s="6" t="n">
        <v>300</v>
      </c>
      <c r="B301" s="7" t="s">
        <v>644</v>
      </c>
      <c r="C301" s="7" t="s">
        <v>690</v>
      </c>
      <c r="D301" s="8" t="s">
        <v>704</v>
      </c>
      <c r="E301" s="7" t="s">
        <v>696</v>
      </c>
      <c r="F301" s="6" t="s">
        <v>526</v>
      </c>
      <c r="G301" s="7" t="s">
        <v>43</v>
      </c>
      <c r="H301" s="7" t="s">
        <v>20</v>
      </c>
      <c r="I301" s="7" t="s">
        <v>112</v>
      </c>
      <c r="J301" s="6" t="s">
        <v>528</v>
      </c>
      <c r="K301" s="6" t="n">
        <v>6</v>
      </c>
      <c r="L301" s="7" t="s">
        <v>692</v>
      </c>
      <c r="M301" s="6" t="n">
        <v>8</v>
      </c>
      <c r="N301" s="7" t="s">
        <v>24</v>
      </c>
    </row>
    <row r="302" customFormat="false" ht="29.85" hidden="false" customHeight="false" outlineLevel="0" collapsed="false">
      <c r="A302" s="6" t="n">
        <v>301</v>
      </c>
      <c r="B302" s="7" t="s">
        <v>644</v>
      </c>
      <c r="C302" s="7" t="s">
        <v>690</v>
      </c>
      <c r="D302" s="8" t="s">
        <v>705</v>
      </c>
      <c r="E302" s="7" t="s">
        <v>706</v>
      </c>
      <c r="F302" s="6" t="s">
        <v>526</v>
      </c>
      <c r="G302" s="7" t="s">
        <v>43</v>
      </c>
      <c r="H302" s="7" t="s">
        <v>20</v>
      </c>
      <c r="I302" s="7" t="s">
        <v>112</v>
      </c>
      <c r="J302" s="6" t="s">
        <v>528</v>
      </c>
      <c r="K302" s="6" t="n">
        <v>6</v>
      </c>
      <c r="L302" s="7" t="s">
        <v>692</v>
      </c>
      <c r="M302" s="6" t="n">
        <v>9</v>
      </c>
      <c r="N302" s="7" t="s">
        <v>24</v>
      </c>
    </row>
    <row r="303" customFormat="false" ht="29.85" hidden="false" customHeight="false" outlineLevel="0" collapsed="false">
      <c r="A303" s="6" t="n">
        <v>302</v>
      </c>
      <c r="B303" s="7" t="s">
        <v>644</v>
      </c>
      <c r="C303" s="7" t="s">
        <v>690</v>
      </c>
      <c r="D303" s="8" t="s">
        <v>707</v>
      </c>
      <c r="E303" s="7" t="s">
        <v>708</v>
      </c>
      <c r="F303" s="6" t="s">
        <v>526</v>
      </c>
      <c r="G303" s="7" t="s">
        <v>43</v>
      </c>
      <c r="H303" s="7" t="s">
        <v>38</v>
      </c>
      <c r="I303" s="7" t="s">
        <v>496</v>
      </c>
      <c r="J303" s="6" t="s">
        <v>528</v>
      </c>
      <c r="K303" s="6" t="n">
        <v>6</v>
      </c>
      <c r="L303" s="7" t="s">
        <v>692</v>
      </c>
      <c r="M303" s="6" t="n">
        <v>10</v>
      </c>
      <c r="N303" s="7" t="s">
        <v>40</v>
      </c>
    </row>
    <row r="304" customFormat="false" ht="29.85" hidden="false" customHeight="false" outlineLevel="0" collapsed="false">
      <c r="A304" s="6" t="n">
        <v>303</v>
      </c>
      <c r="B304" s="7" t="s">
        <v>644</v>
      </c>
      <c r="C304" s="7" t="s">
        <v>690</v>
      </c>
      <c r="D304" s="8" t="s">
        <v>709</v>
      </c>
      <c r="E304" s="7" t="s">
        <v>710</v>
      </c>
      <c r="F304" s="6" t="s">
        <v>526</v>
      </c>
      <c r="G304" s="7" t="s">
        <v>43</v>
      </c>
      <c r="H304" s="7" t="s">
        <v>20</v>
      </c>
      <c r="I304" s="7" t="s">
        <v>51</v>
      </c>
      <c r="J304" s="6" t="s">
        <v>528</v>
      </c>
      <c r="K304" s="6" t="n">
        <v>6</v>
      </c>
      <c r="L304" s="7" t="s">
        <v>692</v>
      </c>
      <c r="M304" s="6" t="n">
        <v>11</v>
      </c>
      <c r="N304" s="7" t="s">
        <v>24</v>
      </c>
    </row>
    <row r="305" customFormat="false" ht="29.85" hidden="false" customHeight="false" outlineLevel="0" collapsed="false">
      <c r="A305" s="6" t="n">
        <v>304</v>
      </c>
      <c r="B305" s="7" t="s">
        <v>644</v>
      </c>
      <c r="C305" s="7" t="s">
        <v>690</v>
      </c>
      <c r="D305" s="8" t="s">
        <v>711</v>
      </c>
      <c r="E305" s="7" t="s">
        <v>698</v>
      </c>
      <c r="F305" s="6" t="s">
        <v>526</v>
      </c>
      <c r="G305" s="7" t="s">
        <v>43</v>
      </c>
      <c r="H305" s="7" t="s">
        <v>20</v>
      </c>
      <c r="I305" s="7" t="s">
        <v>114</v>
      </c>
      <c r="J305" s="6" t="s">
        <v>528</v>
      </c>
      <c r="K305" s="6" t="n">
        <v>6</v>
      </c>
      <c r="L305" s="7" t="s">
        <v>692</v>
      </c>
      <c r="M305" s="6" t="n">
        <v>12</v>
      </c>
      <c r="N305" s="7" t="s">
        <v>24</v>
      </c>
    </row>
    <row r="306" customFormat="false" ht="29.85" hidden="false" customHeight="false" outlineLevel="0" collapsed="false">
      <c r="A306" s="6" t="n">
        <v>305</v>
      </c>
      <c r="B306" s="7" t="s">
        <v>644</v>
      </c>
      <c r="C306" s="7" t="s">
        <v>690</v>
      </c>
      <c r="D306" s="8" t="s">
        <v>712</v>
      </c>
      <c r="E306" s="7" t="s">
        <v>713</v>
      </c>
      <c r="F306" s="6" t="s">
        <v>526</v>
      </c>
      <c r="G306" s="7" t="s">
        <v>43</v>
      </c>
      <c r="H306" s="7" t="s">
        <v>20</v>
      </c>
      <c r="I306" s="7" t="s">
        <v>203</v>
      </c>
      <c r="J306" s="6" t="s">
        <v>528</v>
      </c>
      <c r="K306" s="6" t="n">
        <v>6</v>
      </c>
      <c r="L306" s="7" t="s">
        <v>692</v>
      </c>
      <c r="M306" s="6" t="n">
        <v>13</v>
      </c>
      <c r="N306" s="7" t="s">
        <v>24</v>
      </c>
    </row>
    <row r="307" customFormat="false" ht="29.85" hidden="false" customHeight="false" outlineLevel="0" collapsed="false">
      <c r="A307" s="6" t="n">
        <v>306</v>
      </c>
      <c r="B307" s="7" t="s">
        <v>644</v>
      </c>
      <c r="C307" s="7" t="s">
        <v>690</v>
      </c>
      <c r="D307" s="8" t="s">
        <v>714</v>
      </c>
      <c r="E307" s="7" t="s">
        <v>703</v>
      </c>
      <c r="F307" s="6" t="s">
        <v>526</v>
      </c>
      <c r="G307" s="7" t="s">
        <v>43</v>
      </c>
      <c r="H307" s="7" t="s">
        <v>20</v>
      </c>
      <c r="I307" s="7" t="s">
        <v>203</v>
      </c>
      <c r="J307" s="6" t="s">
        <v>528</v>
      </c>
      <c r="K307" s="6" t="n">
        <v>6</v>
      </c>
      <c r="L307" s="7" t="s">
        <v>692</v>
      </c>
      <c r="M307" s="6" t="n">
        <v>14</v>
      </c>
      <c r="N307" s="7" t="s">
        <v>24</v>
      </c>
    </row>
    <row r="308" customFormat="false" ht="29.85" hidden="false" customHeight="false" outlineLevel="0" collapsed="false">
      <c r="A308" s="6" t="n">
        <v>307</v>
      </c>
      <c r="B308" s="7" t="s">
        <v>644</v>
      </c>
      <c r="C308" s="7" t="s">
        <v>690</v>
      </c>
      <c r="D308" s="8" t="s">
        <v>715</v>
      </c>
      <c r="E308" s="7" t="s">
        <v>716</v>
      </c>
      <c r="F308" s="6" t="s">
        <v>526</v>
      </c>
      <c r="G308" s="7" t="s">
        <v>43</v>
      </c>
      <c r="H308" s="7" t="s">
        <v>38</v>
      </c>
      <c r="I308" s="7" t="s">
        <v>505</v>
      </c>
      <c r="J308" s="6" t="s">
        <v>528</v>
      </c>
      <c r="K308" s="6" t="n">
        <v>6</v>
      </c>
      <c r="L308" s="7" t="s">
        <v>692</v>
      </c>
      <c r="M308" s="6" t="n">
        <v>15</v>
      </c>
      <c r="N308" s="7" t="s">
        <v>40</v>
      </c>
    </row>
    <row r="309" customFormat="false" ht="29.85" hidden="false" customHeight="false" outlineLevel="0" collapsed="false">
      <c r="A309" s="6" t="n">
        <v>308</v>
      </c>
      <c r="B309" s="7" t="s">
        <v>644</v>
      </c>
      <c r="C309" s="7" t="s">
        <v>690</v>
      </c>
      <c r="D309" s="8" t="s">
        <v>717</v>
      </c>
      <c r="E309" s="7" t="s">
        <v>694</v>
      </c>
      <c r="F309" s="6" t="s">
        <v>526</v>
      </c>
      <c r="G309" s="7" t="s">
        <v>43</v>
      </c>
      <c r="H309" s="7" t="s">
        <v>20</v>
      </c>
      <c r="I309" s="7" t="s">
        <v>203</v>
      </c>
      <c r="J309" s="6" t="s">
        <v>528</v>
      </c>
      <c r="K309" s="6" t="n">
        <v>6</v>
      </c>
      <c r="L309" s="7" t="s">
        <v>692</v>
      </c>
      <c r="M309" s="6" t="n">
        <v>16</v>
      </c>
      <c r="N309" s="7" t="s">
        <v>24</v>
      </c>
    </row>
    <row r="310" customFormat="false" ht="29.85" hidden="false" customHeight="false" outlineLevel="0" collapsed="false">
      <c r="A310" s="6" t="n">
        <v>309</v>
      </c>
      <c r="B310" s="7" t="s">
        <v>644</v>
      </c>
      <c r="C310" s="7" t="s">
        <v>690</v>
      </c>
      <c r="D310" s="8" t="s">
        <v>718</v>
      </c>
      <c r="E310" s="7" t="s">
        <v>719</v>
      </c>
      <c r="F310" s="6" t="s">
        <v>526</v>
      </c>
      <c r="G310" s="7" t="s">
        <v>43</v>
      </c>
      <c r="H310" s="7" t="s">
        <v>38</v>
      </c>
      <c r="I310" s="7" t="s">
        <v>720</v>
      </c>
      <c r="J310" s="6" t="s">
        <v>528</v>
      </c>
      <c r="K310" s="6" t="n">
        <v>6</v>
      </c>
      <c r="L310" s="7" t="s">
        <v>692</v>
      </c>
      <c r="M310" s="6" t="n">
        <v>17</v>
      </c>
      <c r="N310" s="7" t="s">
        <v>40</v>
      </c>
    </row>
    <row r="311" customFormat="false" ht="29.85" hidden="false" customHeight="false" outlineLevel="0" collapsed="false">
      <c r="A311" s="6" t="n">
        <v>310</v>
      </c>
      <c r="B311" s="7" t="s">
        <v>644</v>
      </c>
      <c r="C311" s="7" t="s">
        <v>690</v>
      </c>
      <c r="D311" s="8" t="s">
        <v>721</v>
      </c>
      <c r="E311" s="7" t="s">
        <v>706</v>
      </c>
      <c r="F311" s="6" t="s">
        <v>526</v>
      </c>
      <c r="G311" s="7" t="s">
        <v>43</v>
      </c>
      <c r="H311" s="7" t="s">
        <v>38</v>
      </c>
      <c r="I311" s="7" t="s">
        <v>318</v>
      </c>
      <c r="J311" s="6" t="s">
        <v>528</v>
      </c>
      <c r="K311" s="6" t="n">
        <v>6</v>
      </c>
      <c r="L311" s="7" t="s">
        <v>692</v>
      </c>
      <c r="M311" s="6" t="n">
        <v>18</v>
      </c>
      <c r="N311" s="7" t="s">
        <v>40</v>
      </c>
    </row>
    <row r="312" customFormat="false" ht="29.85" hidden="false" customHeight="false" outlineLevel="0" collapsed="false">
      <c r="A312" s="6" t="n">
        <v>311</v>
      </c>
      <c r="B312" s="7" t="s">
        <v>644</v>
      </c>
      <c r="C312" s="7" t="s">
        <v>690</v>
      </c>
      <c r="D312" s="8" t="s">
        <v>722</v>
      </c>
      <c r="E312" s="7" t="s">
        <v>723</v>
      </c>
      <c r="F312" s="6" t="s">
        <v>526</v>
      </c>
      <c r="G312" s="7" t="s">
        <v>43</v>
      </c>
      <c r="H312" s="7" t="s">
        <v>38</v>
      </c>
      <c r="I312" s="7" t="s">
        <v>470</v>
      </c>
      <c r="J312" s="6" t="s">
        <v>528</v>
      </c>
      <c r="K312" s="6" t="n">
        <v>6</v>
      </c>
      <c r="L312" s="7" t="s">
        <v>692</v>
      </c>
      <c r="M312" s="6" t="n">
        <v>19</v>
      </c>
      <c r="N312" s="7" t="s">
        <v>40</v>
      </c>
    </row>
    <row r="313" customFormat="false" ht="29.85" hidden="false" customHeight="false" outlineLevel="0" collapsed="false">
      <c r="A313" s="6" t="n">
        <v>312</v>
      </c>
      <c r="B313" s="7" t="s">
        <v>644</v>
      </c>
      <c r="C313" s="7" t="s">
        <v>690</v>
      </c>
      <c r="D313" s="8" t="s">
        <v>724</v>
      </c>
      <c r="E313" s="7" t="s">
        <v>725</v>
      </c>
      <c r="F313" s="6" t="s">
        <v>526</v>
      </c>
      <c r="G313" s="7" t="s">
        <v>43</v>
      </c>
      <c r="H313" s="7" t="s">
        <v>38</v>
      </c>
      <c r="I313" s="7" t="s">
        <v>472</v>
      </c>
      <c r="J313" s="6" t="s">
        <v>528</v>
      </c>
      <c r="K313" s="6" t="n">
        <v>6</v>
      </c>
      <c r="L313" s="7" t="s">
        <v>692</v>
      </c>
      <c r="M313" s="6" t="n">
        <v>20</v>
      </c>
      <c r="N313" s="7" t="s">
        <v>40</v>
      </c>
    </row>
    <row r="314" customFormat="false" ht="44" hidden="false" customHeight="false" outlineLevel="0" collapsed="false">
      <c r="A314" s="6" t="n">
        <v>313</v>
      </c>
      <c r="B314" s="7" t="s">
        <v>644</v>
      </c>
      <c r="C314" s="7" t="s">
        <v>690</v>
      </c>
      <c r="D314" s="8" t="s">
        <v>726</v>
      </c>
      <c r="E314" s="7" t="s">
        <v>727</v>
      </c>
      <c r="F314" s="6" t="s">
        <v>526</v>
      </c>
      <c r="G314" s="7" t="s">
        <v>43</v>
      </c>
      <c r="H314" s="7" t="s">
        <v>38</v>
      </c>
      <c r="I314" s="7" t="s">
        <v>127</v>
      </c>
      <c r="J314" s="6" t="s">
        <v>528</v>
      </c>
      <c r="K314" s="6" t="n">
        <v>6</v>
      </c>
      <c r="L314" s="7" t="s">
        <v>692</v>
      </c>
      <c r="M314" s="6" t="n">
        <v>21</v>
      </c>
      <c r="N314" s="7" t="s">
        <v>40</v>
      </c>
    </row>
    <row r="315" customFormat="false" ht="44" hidden="false" customHeight="false" outlineLevel="0" collapsed="false">
      <c r="A315" s="6" t="n">
        <v>314</v>
      </c>
      <c r="B315" s="7" t="s">
        <v>644</v>
      </c>
      <c r="C315" s="7" t="s">
        <v>690</v>
      </c>
      <c r="D315" s="8" t="s">
        <v>728</v>
      </c>
      <c r="E315" s="7" t="s">
        <v>729</v>
      </c>
      <c r="F315" s="6" t="s">
        <v>526</v>
      </c>
      <c r="G315" s="7" t="s">
        <v>43</v>
      </c>
      <c r="H315" s="7" t="s">
        <v>38</v>
      </c>
      <c r="I315" s="7" t="s">
        <v>687</v>
      </c>
      <c r="J315" s="6" t="s">
        <v>528</v>
      </c>
      <c r="K315" s="6" t="n">
        <v>6</v>
      </c>
      <c r="L315" s="7" t="s">
        <v>692</v>
      </c>
      <c r="M315" s="6" t="n">
        <v>22</v>
      </c>
      <c r="N315" s="7" t="s">
        <v>40</v>
      </c>
    </row>
    <row r="316" customFormat="false" ht="44" hidden="false" customHeight="false" outlineLevel="0" collapsed="false">
      <c r="A316" s="6" t="n">
        <v>315</v>
      </c>
      <c r="B316" s="7" t="s">
        <v>644</v>
      </c>
      <c r="C316" s="7" t="s">
        <v>690</v>
      </c>
      <c r="D316" s="8" t="s">
        <v>730</v>
      </c>
      <c r="E316" s="7" t="s">
        <v>723</v>
      </c>
      <c r="F316" s="6" t="s">
        <v>526</v>
      </c>
      <c r="G316" s="7" t="s">
        <v>43</v>
      </c>
      <c r="H316" s="7" t="s">
        <v>38</v>
      </c>
      <c r="I316" s="7" t="s">
        <v>384</v>
      </c>
      <c r="J316" s="6" t="s">
        <v>528</v>
      </c>
      <c r="K316" s="6" t="n">
        <v>6</v>
      </c>
      <c r="L316" s="7" t="s">
        <v>692</v>
      </c>
      <c r="M316" s="6" t="n">
        <v>23</v>
      </c>
      <c r="N316" s="7" t="s">
        <v>40</v>
      </c>
    </row>
    <row r="317" customFormat="false" ht="44" hidden="false" customHeight="false" outlineLevel="0" collapsed="false">
      <c r="A317" s="6" t="n">
        <v>316</v>
      </c>
      <c r="B317" s="7" t="s">
        <v>644</v>
      </c>
      <c r="C317" s="7" t="s">
        <v>690</v>
      </c>
      <c r="D317" s="8" t="s">
        <v>731</v>
      </c>
      <c r="E317" s="7" t="s">
        <v>698</v>
      </c>
      <c r="F317" s="6" t="s">
        <v>526</v>
      </c>
      <c r="G317" s="7" t="s">
        <v>43</v>
      </c>
      <c r="H317" s="7" t="s">
        <v>38</v>
      </c>
      <c r="I317" s="7" t="s">
        <v>57</v>
      </c>
      <c r="J317" s="6" t="s">
        <v>528</v>
      </c>
      <c r="K317" s="6" t="n">
        <v>6</v>
      </c>
      <c r="L317" s="7" t="s">
        <v>692</v>
      </c>
      <c r="M317" s="6" t="n">
        <v>24</v>
      </c>
      <c r="N317" s="7" t="s">
        <v>40</v>
      </c>
    </row>
    <row r="318" customFormat="false" ht="44" hidden="false" customHeight="false" outlineLevel="0" collapsed="false">
      <c r="A318" s="6" t="n">
        <v>317</v>
      </c>
      <c r="B318" s="7" t="s">
        <v>644</v>
      </c>
      <c r="C318" s="7" t="s">
        <v>690</v>
      </c>
      <c r="D318" s="8" t="s">
        <v>732</v>
      </c>
      <c r="E318" s="7" t="s">
        <v>733</v>
      </c>
      <c r="F318" s="6" t="s">
        <v>526</v>
      </c>
      <c r="G318" s="7" t="s">
        <v>43</v>
      </c>
      <c r="H318" s="7" t="s">
        <v>38</v>
      </c>
      <c r="I318" s="7" t="s">
        <v>734</v>
      </c>
      <c r="J318" s="6" t="s">
        <v>528</v>
      </c>
      <c r="K318" s="6" t="n">
        <v>6</v>
      </c>
      <c r="L318" s="7" t="s">
        <v>692</v>
      </c>
      <c r="M318" s="6" t="n">
        <v>25</v>
      </c>
      <c r="N318" s="7" t="s">
        <v>40</v>
      </c>
    </row>
    <row r="319" customFormat="false" ht="44" hidden="false" customHeight="false" outlineLevel="0" collapsed="false">
      <c r="A319" s="6" t="n">
        <v>318</v>
      </c>
      <c r="B319" s="7" t="s">
        <v>644</v>
      </c>
      <c r="C319" s="7" t="s">
        <v>690</v>
      </c>
      <c r="D319" s="8" t="s">
        <v>735</v>
      </c>
      <c r="E319" s="7" t="s">
        <v>694</v>
      </c>
      <c r="F319" s="6" t="s">
        <v>526</v>
      </c>
      <c r="G319" s="7" t="s">
        <v>43</v>
      </c>
      <c r="H319" s="7" t="s">
        <v>38</v>
      </c>
      <c r="I319" s="7" t="s">
        <v>736</v>
      </c>
      <c r="J319" s="6" t="s">
        <v>528</v>
      </c>
      <c r="K319" s="6" t="n">
        <v>6</v>
      </c>
      <c r="L319" s="7" t="s">
        <v>692</v>
      </c>
      <c r="M319" s="6" t="n">
        <v>26</v>
      </c>
      <c r="N319" s="7" t="s">
        <v>40</v>
      </c>
    </row>
    <row r="320" customFormat="false" ht="58.2" hidden="false" customHeight="false" outlineLevel="0" collapsed="false">
      <c r="A320" s="6" t="n">
        <v>319</v>
      </c>
      <c r="B320" s="7" t="s">
        <v>644</v>
      </c>
      <c r="C320" s="7" t="s">
        <v>690</v>
      </c>
      <c r="D320" s="8" t="s">
        <v>737</v>
      </c>
      <c r="E320" s="7" t="s">
        <v>710</v>
      </c>
      <c r="F320" s="6" t="s">
        <v>526</v>
      </c>
      <c r="G320" s="7" t="s">
        <v>43</v>
      </c>
      <c r="H320" s="7" t="s">
        <v>38</v>
      </c>
      <c r="I320" s="7" t="s">
        <v>738</v>
      </c>
      <c r="J320" s="6" t="s">
        <v>528</v>
      </c>
      <c r="K320" s="6" t="n">
        <v>6</v>
      </c>
      <c r="L320" s="7" t="s">
        <v>692</v>
      </c>
      <c r="M320" s="6" t="n">
        <v>27</v>
      </c>
      <c r="N320" s="7" t="s">
        <v>40</v>
      </c>
    </row>
    <row r="321" customFormat="false" ht="15" hidden="false" customHeight="false" outlineLevel="0" collapsed="false">
      <c r="A321" s="6" t="n">
        <v>320</v>
      </c>
      <c r="B321" s="7" t="s">
        <v>644</v>
      </c>
      <c r="C321" s="7" t="s">
        <v>739</v>
      </c>
      <c r="D321" s="8" t="s">
        <v>740</v>
      </c>
      <c r="E321" s="7" t="s">
        <v>741</v>
      </c>
      <c r="F321" s="6" t="s">
        <v>476</v>
      </c>
      <c r="G321" s="7" t="s">
        <v>43</v>
      </c>
      <c r="H321" s="7" t="s">
        <v>20</v>
      </c>
      <c r="I321" s="7" t="s">
        <v>742</v>
      </c>
      <c r="J321" s="6" t="s">
        <v>528</v>
      </c>
      <c r="K321" s="6" t="n">
        <v>7</v>
      </c>
      <c r="L321" s="7" t="s">
        <v>743</v>
      </c>
      <c r="M321" s="6" t="n">
        <v>1</v>
      </c>
      <c r="N321" s="7" t="s">
        <v>24</v>
      </c>
    </row>
    <row r="322" customFormat="false" ht="15" hidden="false" customHeight="false" outlineLevel="0" collapsed="false">
      <c r="A322" s="6" t="n">
        <v>321</v>
      </c>
      <c r="B322" s="7" t="s">
        <v>644</v>
      </c>
      <c r="C322" s="7" t="s">
        <v>739</v>
      </c>
      <c r="D322" s="8" t="s">
        <v>744</v>
      </c>
      <c r="E322" s="7" t="s">
        <v>745</v>
      </c>
      <c r="F322" s="6" t="s">
        <v>476</v>
      </c>
      <c r="G322" s="7" t="s">
        <v>43</v>
      </c>
      <c r="H322" s="7" t="s">
        <v>20</v>
      </c>
      <c r="I322" s="7" t="s">
        <v>532</v>
      </c>
      <c r="J322" s="6" t="s">
        <v>528</v>
      </c>
      <c r="K322" s="6" t="n">
        <v>7</v>
      </c>
      <c r="L322" s="7" t="s">
        <v>743</v>
      </c>
      <c r="M322" s="6" t="n">
        <v>2</v>
      </c>
      <c r="N322" s="7" t="s">
        <v>24</v>
      </c>
    </row>
    <row r="323" customFormat="false" ht="15" hidden="false" customHeight="false" outlineLevel="0" collapsed="false">
      <c r="A323" s="6" t="n">
        <v>322</v>
      </c>
      <c r="B323" s="7" t="s">
        <v>644</v>
      </c>
      <c r="C323" s="7" t="s">
        <v>739</v>
      </c>
      <c r="D323" s="8" t="s">
        <v>746</v>
      </c>
      <c r="E323" s="7" t="s">
        <v>747</v>
      </c>
      <c r="F323" s="6" t="s">
        <v>476</v>
      </c>
      <c r="G323" s="7" t="s">
        <v>43</v>
      </c>
      <c r="H323" s="7" t="s">
        <v>20</v>
      </c>
      <c r="I323" s="7" t="s">
        <v>532</v>
      </c>
      <c r="J323" s="6" t="s">
        <v>528</v>
      </c>
      <c r="K323" s="6" t="n">
        <v>7</v>
      </c>
      <c r="L323" s="7" t="s">
        <v>743</v>
      </c>
      <c r="M323" s="6" t="n">
        <v>3</v>
      </c>
      <c r="N323" s="7" t="s">
        <v>24</v>
      </c>
    </row>
    <row r="324" customFormat="false" ht="15" hidden="false" customHeight="false" outlineLevel="0" collapsed="false">
      <c r="A324" s="6" t="n">
        <v>323</v>
      </c>
      <c r="B324" s="7" t="s">
        <v>644</v>
      </c>
      <c r="C324" s="7" t="s">
        <v>739</v>
      </c>
      <c r="D324" s="8" t="s">
        <v>748</v>
      </c>
      <c r="E324" s="7" t="s">
        <v>749</v>
      </c>
      <c r="F324" s="6" t="s">
        <v>526</v>
      </c>
      <c r="G324" s="7" t="s">
        <v>43</v>
      </c>
      <c r="H324" s="7" t="s">
        <v>20</v>
      </c>
      <c r="I324" s="7" t="s">
        <v>750</v>
      </c>
      <c r="J324" s="6" t="s">
        <v>528</v>
      </c>
      <c r="K324" s="6" t="n">
        <v>7</v>
      </c>
      <c r="L324" s="7" t="s">
        <v>743</v>
      </c>
      <c r="M324" s="6" t="n">
        <v>4</v>
      </c>
      <c r="N324" s="7" t="s">
        <v>24</v>
      </c>
    </row>
    <row r="325" customFormat="false" ht="15" hidden="false" customHeight="false" outlineLevel="0" collapsed="false">
      <c r="A325" s="6" t="n">
        <v>324</v>
      </c>
      <c r="B325" s="7" t="s">
        <v>644</v>
      </c>
      <c r="C325" s="7" t="s">
        <v>739</v>
      </c>
      <c r="D325" s="8" t="s">
        <v>751</v>
      </c>
      <c r="E325" s="8" t="s">
        <v>752</v>
      </c>
      <c r="F325" s="6" t="s">
        <v>37</v>
      </c>
      <c r="G325" s="7" t="s">
        <v>27</v>
      </c>
      <c r="H325" s="7" t="s">
        <v>38</v>
      </c>
      <c r="I325" s="7" t="s">
        <v>83</v>
      </c>
      <c r="J325" s="6" t="s">
        <v>528</v>
      </c>
      <c r="K325" s="6" t="n">
        <v>7</v>
      </c>
      <c r="L325" s="7" t="s">
        <v>743</v>
      </c>
      <c r="M325" s="6" t="n">
        <v>5</v>
      </c>
      <c r="N325" s="7" t="s">
        <v>40</v>
      </c>
    </row>
    <row r="326" customFormat="false" ht="15" hidden="false" customHeight="false" outlineLevel="0" collapsed="false">
      <c r="A326" s="6" t="n">
        <v>325</v>
      </c>
      <c r="B326" s="7" t="s">
        <v>644</v>
      </c>
      <c r="C326" s="7" t="s">
        <v>739</v>
      </c>
      <c r="D326" s="8" t="s">
        <v>753</v>
      </c>
      <c r="E326" s="7" t="s">
        <v>754</v>
      </c>
      <c r="F326" s="6" t="s">
        <v>476</v>
      </c>
      <c r="G326" s="7" t="s">
        <v>43</v>
      </c>
      <c r="H326" s="7" t="s">
        <v>20</v>
      </c>
      <c r="I326" s="7" t="s">
        <v>648</v>
      </c>
      <c r="J326" s="6" t="s">
        <v>528</v>
      </c>
      <c r="K326" s="6" t="n">
        <v>7</v>
      </c>
      <c r="L326" s="7" t="s">
        <v>743</v>
      </c>
      <c r="M326" s="6" t="n">
        <v>6</v>
      </c>
      <c r="N326" s="7" t="s">
        <v>24</v>
      </c>
    </row>
    <row r="327" customFormat="false" ht="15" hidden="false" customHeight="false" outlineLevel="0" collapsed="false">
      <c r="A327" s="6" t="n">
        <v>326</v>
      </c>
      <c r="B327" s="7" t="s">
        <v>644</v>
      </c>
      <c r="C327" s="7" t="s">
        <v>739</v>
      </c>
      <c r="D327" s="8" t="s">
        <v>755</v>
      </c>
      <c r="E327" s="7" t="s">
        <v>756</v>
      </c>
      <c r="F327" s="6" t="s">
        <v>476</v>
      </c>
      <c r="G327" s="7" t="s">
        <v>43</v>
      </c>
      <c r="H327" s="7" t="s">
        <v>20</v>
      </c>
      <c r="I327" s="7" t="s">
        <v>757</v>
      </c>
      <c r="J327" s="6" t="s">
        <v>528</v>
      </c>
      <c r="K327" s="6" t="n">
        <v>7</v>
      </c>
      <c r="L327" s="7" t="s">
        <v>743</v>
      </c>
      <c r="M327" s="6" t="n">
        <v>7</v>
      </c>
      <c r="N327" s="7" t="s">
        <v>24</v>
      </c>
    </row>
    <row r="328" customFormat="false" ht="15" hidden="false" customHeight="false" outlineLevel="0" collapsed="false">
      <c r="A328" s="6" t="n">
        <v>327</v>
      </c>
      <c r="B328" s="7" t="s">
        <v>644</v>
      </c>
      <c r="C328" s="7" t="s">
        <v>739</v>
      </c>
      <c r="D328" s="8" t="s">
        <v>758</v>
      </c>
      <c r="E328" s="6" t="s">
        <v>759</v>
      </c>
      <c r="F328" s="6" t="s">
        <v>760</v>
      </c>
      <c r="G328" s="7" t="s">
        <v>27</v>
      </c>
      <c r="H328" s="7" t="s">
        <v>20</v>
      </c>
      <c r="I328" s="7" t="s">
        <v>757</v>
      </c>
      <c r="J328" s="6" t="s">
        <v>528</v>
      </c>
      <c r="K328" s="6" t="n">
        <v>7</v>
      </c>
      <c r="L328" s="7" t="s">
        <v>743</v>
      </c>
      <c r="M328" s="6" t="n">
        <v>8</v>
      </c>
      <c r="N328" s="7" t="s">
        <v>24</v>
      </c>
    </row>
    <row r="329" customFormat="false" ht="15" hidden="false" customHeight="false" outlineLevel="0" collapsed="false">
      <c r="A329" s="6" t="n">
        <v>328</v>
      </c>
      <c r="B329" s="7" t="s">
        <v>644</v>
      </c>
      <c r="C329" s="7" t="s">
        <v>739</v>
      </c>
      <c r="D329" s="8" t="s">
        <v>761</v>
      </c>
      <c r="E329" s="7" t="s">
        <v>762</v>
      </c>
      <c r="F329" s="6" t="s">
        <v>476</v>
      </c>
      <c r="G329" s="7" t="s">
        <v>43</v>
      </c>
      <c r="H329" s="7" t="s">
        <v>20</v>
      </c>
      <c r="I329" s="7" t="s">
        <v>327</v>
      </c>
      <c r="J329" s="6" t="s">
        <v>528</v>
      </c>
      <c r="K329" s="6" t="n">
        <v>7</v>
      </c>
      <c r="L329" s="7" t="s">
        <v>743</v>
      </c>
      <c r="M329" s="6" t="n">
        <v>9</v>
      </c>
      <c r="N329" s="7" t="s">
        <v>24</v>
      </c>
    </row>
    <row r="330" customFormat="false" ht="15" hidden="false" customHeight="false" outlineLevel="0" collapsed="false">
      <c r="A330" s="6" t="n">
        <v>329</v>
      </c>
      <c r="B330" s="7" t="s">
        <v>644</v>
      </c>
      <c r="C330" s="7" t="s">
        <v>739</v>
      </c>
      <c r="D330" s="8" t="s">
        <v>763</v>
      </c>
      <c r="E330" s="8" t="s">
        <v>764</v>
      </c>
      <c r="F330" s="6" t="s">
        <v>37</v>
      </c>
      <c r="G330" s="7" t="s">
        <v>27</v>
      </c>
      <c r="H330" s="7" t="s">
        <v>38</v>
      </c>
      <c r="I330" s="7" t="s">
        <v>95</v>
      </c>
      <c r="J330" s="6" t="s">
        <v>528</v>
      </c>
      <c r="K330" s="6" t="n">
        <v>7</v>
      </c>
      <c r="L330" s="7" t="s">
        <v>743</v>
      </c>
      <c r="M330" s="6" t="n">
        <v>10</v>
      </c>
      <c r="N330" s="7" t="s">
        <v>40</v>
      </c>
    </row>
    <row r="331" customFormat="false" ht="15" hidden="false" customHeight="false" outlineLevel="0" collapsed="false">
      <c r="A331" s="6" t="n">
        <v>330</v>
      </c>
      <c r="B331" s="7" t="s">
        <v>644</v>
      </c>
      <c r="C331" s="7" t="s">
        <v>739</v>
      </c>
      <c r="D331" s="8" t="s">
        <v>765</v>
      </c>
      <c r="E331" s="7" t="s">
        <v>766</v>
      </c>
      <c r="F331" s="6" t="s">
        <v>476</v>
      </c>
      <c r="G331" s="7" t="s">
        <v>43</v>
      </c>
      <c r="H331" s="7" t="s">
        <v>20</v>
      </c>
      <c r="I331" s="7" t="s">
        <v>172</v>
      </c>
      <c r="J331" s="6" t="s">
        <v>528</v>
      </c>
      <c r="K331" s="6" t="n">
        <v>7</v>
      </c>
      <c r="L331" s="7" t="s">
        <v>743</v>
      </c>
      <c r="M331" s="6" t="n">
        <v>11</v>
      </c>
      <c r="N331" s="7" t="s">
        <v>24</v>
      </c>
    </row>
    <row r="332" customFormat="false" ht="15" hidden="false" customHeight="false" outlineLevel="0" collapsed="false">
      <c r="A332" s="6" t="n">
        <v>331</v>
      </c>
      <c r="B332" s="7" t="s">
        <v>644</v>
      </c>
      <c r="C332" s="7" t="s">
        <v>739</v>
      </c>
      <c r="D332" s="8" t="s">
        <v>767</v>
      </c>
      <c r="E332" s="7" t="s">
        <v>768</v>
      </c>
      <c r="F332" s="6" t="s">
        <v>476</v>
      </c>
      <c r="G332" s="7" t="s">
        <v>43</v>
      </c>
      <c r="H332" s="7" t="s">
        <v>20</v>
      </c>
      <c r="I332" s="7" t="s">
        <v>595</v>
      </c>
      <c r="J332" s="6" t="s">
        <v>528</v>
      </c>
      <c r="K332" s="6" t="n">
        <v>7</v>
      </c>
      <c r="L332" s="7" t="s">
        <v>743</v>
      </c>
      <c r="M332" s="6" t="n">
        <v>12</v>
      </c>
      <c r="N332" s="7" t="s">
        <v>24</v>
      </c>
    </row>
    <row r="333" customFormat="false" ht="15" hidden="false" customHeight="false" outlineLevel="0" collapsed="false">
      <c r="A333" s="6" t="n">
        <v>332</v>
      </c>
      <c r="B333" s="7" t="s">
        <v>644</v>
      </c>
      <c r="C333" s="7" t="s">
        <v>739</v>
      </c>
      <c r="D333" s="8" t="s">
        <v>769</v>
      </c>
      <c r="E333" s="7" t="s">
        <v>770</v>
      </c>
      <c r="F333" s="6" t="s">
        <v>476</v>
      </c>
      <c r="G333" s="7" t="s">
        <v>43</v>
      </c>
      <c r="H333" s="7" t="s">
        <v>20</v>
      </c>
      <c r="I333" s="7" t="s">
        <v>595</v>
      </c>
      <c r="J333" s="6" t="s">
        <v>528</v>
      </c>
      <c r="K333" s="6" t="n">
        <v>7</v>
      </c>
      <c r="L333" s="7" t="s">
        <v>743</v>
      </c>
      <c r="M333" s="6" t="n">
        <v>13</v>
      </c>
      <c r="N333" s="7" t="s">
        <v>24</v>
      </c>
    </row>
    <row r="334" customFormat="false" ht="15" hidden="false" customHeight="false" outlineLevel="0" collapsed="false">
      <c r="A334" s="6" t="n">
        <v>333</v>
      </c>
      <c r="B334" s="7" t="s">
        <v>644</v>
      </c>
      <c r="C334" s="7" t="s">
        <v>739</v>
      </c>
      <c r="D334" s="8" t="s">
        <v>771</v>
      </c>
      <c r="E334" s="7" t="s">
        <v>772</v>
      </c>
      <c r="F334" s="6" t="s">
        <v>476</v>
      </c>
      <c r="G334" s="7" t="s">
        <v>43</v>
      </c>
      <c r="H334" s="7" t="s">
        <v>20</v>
      </c>
      <c r="I334" s="7" t="s">
        <v>595</v>
      </c>
      <c r="J334" s="6" t="s">
        <v>528</v>
      </c>
      <c r="K334" s="6" t="n">
        <v>7</v>
      </c>
      <c r="L334" s="7" t="s">
        <v>743</v>
      </c>
      <c r="M334" s="6" t="n">
        <v>14</v>
      </c>
      <c r="N334" s="7" t="s">
        <v>24</v>
      </c>
    </row>
    <row r="335" customFormat="false" ht="15" hidden="false" customHeight="false" outlineLevel="0" collapsed="false">
      <c r="A335" s="6" t="n">
        <v>334</v>
      </c>
      <c r="B335" s="7" t="s">
        <v>644</v>
      </c>
      <c r="C335" s="7" t="s">
        <v>739</v>
      </c>
      <c r="D335" s="8" t="s">
        <v>773</v>
      </c>
      <c r="E335" s="8" t="s">
        <v>774</v>
      </c>
      <c r="F335" s="6" t="s">
        <v>37</v>
      </c>
      <c r="G335" s="7" t="s">
        <v>27</v>
      </c>
      <c r="H335" s="7" t="s">
        <v>38</v>
      </c>
      <c r="I335" s="7" t="s">
        <v>108</v>
      </c>
      <c r="J335" s="6" t="s">
        <v>528</v>
      </c>
      <c r="K335" s="6" t="n">
        <v>7</v>
      </c>
      <c r="L335" s="7" t="s">
        <v>743</v>
      </c>
      <c r="M335" s="6" t="n">
        <v>15</v>
      </c>
      <c r="N335" s="7" t="s">
        <v>40</v>
      </c>
    </row>
    <row r="336" customFormat="false" ht="15" hidden="false" customHeight="false" outlineLevel="0" collapsed="false">
      <c r="A336" s="6" t="n">
        <v>335</v>
      </c>
      <c r="B336" s="7" t="s">
        <v>644</v>
      </c>
      <c r="C336" s="7" t="s">
        <v>739</v>
      </c>
      <c r="D336" s="8" t="s">
        <v>775</v>
      </c>
      <c r="E336" s="7" t="s">
        <v>756</v>
      </c>
      <c r="F336" s="6" t="s">
        <v>476</v>
      </c>
      <c r="G336" s="7" t="s">
        <v>43</v>
      </c>
      <c r="H336" s="7" t="s">
        <v>20</v>
      </c>
      <c r="I336" s="7" t="s">
        <v>32</v>
      </c>
      <c r="J336" s="6" t="s">
        <v>528</v>
      </c>
      <c r="K336" s="6" t="n">
        <v>7</v>
      </c>
      <c r="L336" s="7" t="s">
        <v>743</v>
      </c>
      <c r="M336" s="6" t="n">
        <v>16</v>
      </c>
      <c r="N336" s="7" t="s">
        <v>24</v>
      </c>
    </row>
    <row r="337" customFormat="false" ht="15" hidden="false" customHeight="false" outlineLevel="0" collapsed="false">
      <c r="A337" s="6" t="n">
        <v>336</v>
      </c>
      <c r="B337" s="7" t="s">
        <v>644</v>
      </c>
      <c r="C337" s="7" t="s">
        <v>739</v>
      </c>
      <c r="D337" s="8" t="s">
        <v>776</v>
      </c>
      <c r="E337" s="7" t="s">
        <v>777</v>
      </c>
      <c r="F337" s="6" t="s">
        <v>476</v>
      </c>
      <c r="G337" s="7" t="s">
        <v>43</v>
      </c>
      <c r="H337" s="7" t="s">
        <v>20</v>
      </c>
      <c r="I337" s="7" t="s">
        <v>34</v>
      </c>
      <c r="J337" s="6" t="s">
        <v>528</v>
      </c>
      <c r="K337" s="6" t="n">
        <v>7</v>
      </c>
      <c r="L337" s="7" t="s">
        <v>743</v>
      </c>
      <c r="M337" s="6" t="n">
        <v>17</v>
      </c>
      <c r="N337" s="7" t="s">
        <v>24</v>
      </c>
    </row>
    <row r="338" customFormat="false" ht="15" hidden="false" customHeight="false" outlineLevel="0" collapsed="false">
      <c r="A338" s="6" t="n">
        <v>337</v>
      </c>
      <c r="B338" s="7" t="s">
        <v>644</v>
      </c>
      <c r="C338" s="7" t="s">
        <v>739</v>
      </c>
      <c r="D338" s="8" t="s">
        <v>778</v>
      </c>
      <c r="E338" s="7" t="s">
        <v>779</v>
      </c>
      <c r="F338" s="6" t="s">
        <v>476</v>
      </c>
      <c r="G338" s="7" t="s">
        <v>43</v>
      </c>
      <c r="H338" s="7" t="s">
        <v>20</v>
      </c>
      <c r="I338" s="7" t="s">
        <v>575</v>
      </c>
      <c r="J338" s="6" t="s">
        <v>528</v>
      </c>
      <c r="K338" s="6" t="n">
        <v>7</v>
      </c>
      <c r="L338" s="7" t="s">
        <v>743</v>
      </c>
      <c r="M338" s="6" t="n">
        <v>18</v>
      </c>
      <c r="N338" s="7" t="s">
        <v>24</v>
      </c>
    </row>
    <row r="339" customFormat="false" ht="15" hidden="false" customHeight="false" outlineLevel="0" collapsed="false">
      <c r="A339" s="6" t="n">
        <v>338</v>
      </c>
      <c r="B339" s="7" t="s">
        <v>644</v>
      </c>
      <c r="C339" s="7" t="s">
        <v>739</v>
      </c>
      <c r="D339" s="9" t="s">
        <v>780</v>
      </c>
      <c r="E339" s="7" t="s">
        <v>781</v>
      </c>
      <c r="F339" s="6" t="s">
        <v>476</v>
      </c>
      <c r="G339" s="7" t="s">
        <v>43</v>
      </c>
      <c r="H339" s="7" t="s">
        <v>20</v>
      </c>
      <c r="I339" s="7" t="s">
        <v>575</v>
      </c>
      <c r="J339" s="6" t="s">
        <v>528</v>
      </c>
      <c r="K339" s="6" t="n">
        <v>7</v>
      </c>
      <c r="L339" s="7" t="s">
        <v>743</v>
      </c>
      <c r="M339" s="6" t="n">
        <v>19</v>
      </c>
      <c r="N339" s="7" t="s">
        <v>24</v>
      </c>
    </row>
    <row r="340" customFormat="false" ht="15" hidden="false" customHeight="false" outlineLevel="0" collapsed="false">
      <c r="A340" s="6" t="n">
        <v>339</v>
      </c>
      <c r="B340" s="7" t="s">
        <v>644</v>
      </c>
      <c r="C340" s="7" t="s">
        <v>739</v>
      </c>
      <c r="D340" s="8" t="s">
        <v>782</v>
      </c>
      <c r="E340" s="7" t="s">
        <v>783</v>
      </c>
      <c r="F340" s="6" t="s">
        <v>37</v>
      </c>
      <c r="G340" s="7" t="s">
        <v>27</v>
      </c>
      <c r="H340" s="7" t="s">
        <v>38</v>
      </c>
      <c r="I340" s="7" t="s">
        <v>153</v>
      </c>
      <c r="J340" s="6" t="s">
        <v>528</v>
      </c>
      <c r="K340" s="6" t="n">
        <v>7</v>
      </c>
      <c r="L340" s="7" t="s">
        <v>743</v>
      </c>
      <c r="M340" s="6" t="n">
        <v>20</v>
      </c>
      <c r="N340" s="7" t="s">
        <v>40</v>
      </c>
    </row>
    <row r="341" customFormat="false" ht="15" hidden="false" customHeight="false" outlineLevel="0" collapsed="false">
      <c r="A341" s="6" t="n">
        <v>340</v>
      </c>
      <c r="B341" s="7" t="s">
        <v>644</v>
      </c>
      <c r="C341" s="7" t="s">
        <v>739</v>
      </c>
      <c r="D341" s="8" t="s">
        <v>784</v>
      </c>
      <c r="E341" s="7" t="s">
        <v>785</v>
      </c>
      <c r="F341" s="6" t="s">
        <v>476</v>
      </c>
      <c r="G341" s="7" t="s">
        <v>43</v>
      </c>
      <c r="H341" s="7" t="s">
        <v>20</v>
      </c>
      <c r="I341" s="7" t="s">
        <v>183</v>
      </c>
      <c r="J341" s="6" t="s">
        <v>528</v>
      </c>
      <c r="K341" s="6" t="n">
        <v>7</v>
      </c>
      <c r="L341" s="7" t="s">
        <v>743</v>
      </c>
      <c r="M341" s="6" t="n">
        <v>21</v>
      </c>
      <c r="N341" s="7" t="s">
        <v>24</v>
      </c>
    </row>
    <row r="342" customFormat="false" ht="15" hidden="false" customHeight="false" outlineLevel="0" collapsed="false">
      <c r="A342" s="6" t="n">
        <v>341</v>
      </c>
      <c r="B342" s="7" t="s">
        <v>644</v>
      </c>
      <c r="C342" s="7" t="s">
        <v>739</v>
      </c>
      <c r="D342" s="8" t="s">
        <v>786</v>
      </c>
      <c r="E342" s="7" t="s">
        <v>787</v>
      </c>
      <c r="F342" s="6" t="s">
        <v>476</v>
      </c>
      <c r="G342" s="7" t="s">
        <v>43</v>
      </c>
      <c r="H342" s="7" t="s">
        <v>20</v>
      </c>
      <c r="I342" s="7" t="s">
        <v>183</v>
      </c>
      <c r="J342" s="6" t="s">
        <v>528</v>
      </c>
      <c r="K342" s="6" t="n">
        <v>7</v>
      </c>
      <c r="L342" s="7" t="s">
        <v>743</v>
      </c>
      <c r="M342" s="6" t="n">
        <v>22</v>
      </c>
      <c r="N342" s="7" t="s">
        <v>24</v>
      </c>
    </row>
    <row r="343" customFormat="false" ht="15" hidden="false" customHeight="false" outlineLevel="0" collapsed="false">
      <c r="A343" s="6" t="n">
        <v>342</v>
      </c>
      <c r="B343" s="7" t="s">
        <v>644</v>
      </c>
      <c r="C343" s="7" t="s">
        <v>739</v>
      </c>
      <c r="D343" s="8" t="s">
        <v>788</v>
      </c>
      <c r="E343" s="7" t="s">
        <v>789</v>
      </c>
      <c r="F343" s="6" t="s">
        <v>476</v>
      </c>
      <c r="G343" s="7" t="s">
        <v>43</v>
      </c>
      <c r="H343" s="7" t="s">
        <v>20</v>
      </c>
      <c r="I343" s="7" t="s">
        <v>138</v>
      </c>
      <c r="J343" s="6" t="s">
        <v>528</v>
      </c>
      <c r="K343" s="6" t="n">
        <v>7</v>
      </c>
      <c r="L343" s="7" t="s">
        <v>743</v>
      </c>
      <c r="M343" s="6" t="n">
        <v>23</v>
      </c>
      <c r="N343" s="7" t="s">
        <v>24</v>
      </c>
    </row>
    <row r="344" customFormat="false" ht="15" hidden="false" customHeight="false" outlineLevel="0" collapsed="false">
      <c r="A344" s="6" t="n">
        <v>343</v>
      </c>
      <c r="B344" s="7" t="s">
        <v>644</v>
      </c>
      <c r="C344" s="7" t="s">
        <v>739</v>
      </c>
      <c r="D344" s="8" t="s">
        <v>790</v>
      </c>
      <c r="E344" s="7" t="s">
        <v>766</v>
      </c>
      <c r="F344" s="6" t="s">
        <v>476</v>
      </c>
      <c r="G344" s="7" t="s">
        <v>43</v>
      </c>
      <c r="H344" s="7" t="s">
        <v>20</v>
      </c>
      <c r="I344" s="7" t="s">
        <v>46</v>
      </c>
      <c r="J344" s="6" t="s">
        <v>528</v>
      </c>
      <c r="K344" s="6" t="n">
        <v>7</v>
      </c>
      <c r="L344" s="7" t="s">
        <v>743</v>
      </c>
      <c r="M344" s="6" t="n">
        <v>24</v>
      </c>
      <c r="N344" s="7" t="s">
        <v>24</v>
      </c>
    </row>
    <row r="345" customFormat="false" ht="15" hidden="false" customHeight="false" outlineLevel="0" collapsed="false">
      <c r="A345" s="6" t="n">
        <v>344</v>
      </c>
      <c r="B345" s="7" t="s">
        <v>644</v>
      </c>
      <c r="C345" s="7" t="s">
        <v>739</v>
      </c>
      <c r="D345" s="8" t="s">
        <v>791</v>
      </c>
      <c r="E345" s="7" t="s">
        <v>792</v>
      </c>
      <c r="F345" s="6" t="s">
        <v>82</v>
      </c>
      <c r="G345" s="7" t="s">
        <v>27</v>
      </c>
      <c r="H345" s="7" t="s">
        <v>38</v>
      </c>
      <c r="I345" s="7" t="s">
        <v>793</v>
      </c>
      <c r="J345" s="6" t="s">
        <v>528</v>
      </c>
      <c r="K345" s="6" t="n">
        <v>7</v>
      </c>
      <c r="L345" s="7" t="s">
        <v>743</v>
      </c>
      <c r="M345" s="6" t="n">
        <v>25</v>
      </c>
      <c r="N345" s="7" t="s">
        <v>40</v>
      </c>
    </row>
    <row r="346" customFormat="false" ht="15" hidden="false" customHeight="false" outlineLevel="0" collapsed="false">
      <c r="A346" s="6" t="n">
        <v>345</v>
      </c>
      <c r="B346" s="7" t="s">
        <v>644</v>
      </c>
      <c r="C346" s="7" t="s">
        <v>739</v>
      </c>
      <c r="D346" s="8" t="s">
        <v>794</v>
      </c>
      <c r="E346" s="7" t="s">
        <v>795</v>
      </c>
      <c r="F346" s="6" t="s">
        <v>476</v>
      </c>
      <c r="G346" s="7" t="s">
        <v>43</v>
      </c>
      <c r="H346" s="7" t="s">
        <v>20</v>
      </c>
      <c r="I346" s="7" t="s">
        <v>46</v>
      </c>
      <c r="J346" s="6" t="s">
        <v>528</v>
      </c>
      <c r="K346" s="6" t="n">
        <v>7</v>
      </c>
      <c r="L346" s="7" t="s">
        <v>743</v>
      </c>
      <c r="M346" s="6" t="n">
        <v>26</v>
      </c>
      <c r="N346" s="7" t="s">
        <v>24</v>
      </c>
    </row>
    <row r="347" customFormat="false" ht="26.85" hidden="false" customHeight="false" outlineLevel="0" collapsed="false">
      <c r="A347" s="6" t="n">
        <v>346</v>
      </c>
      <c r="B347" s="7" t="s">
        <v>644</v>
      </c>
      <c r="C347" s="7" t="s">
        <v>739</v>
      </c>
      <c r="D347" s="8" t="s">
        <v>796</v>
      </c>
      <c r="E347" s="7" t="s">
        <v>797</v>
      </c>
      <c r="F347" s="6" t="s">
        <v>476</v>
      </c>
      <c r="G347" s="7" t="s">
        <v>43</v>
      </c>
      <c r="H347" s="7" t="s">
        <v>20</v>
      </c>
      <c r="I347" s="7" t="s">
        <v>189</v>
      </c>
      <c r="J347" s="6" t="s">
        <v>528</v>
      </c>
      <c r="K347" s="6" t="n">
        <v>7</v>
      </c>
      <c r="L347" s="7" t="s">
        <v>743</v>
      </c>
      <c r="M347" s="6" t="n">
        <v>27</v>
      </c>
      <c r="N347" s="7" t="s">
        <v>24</v>
      </c>
    </row>
    <row r="348" customFormat="false" ht="29.85" hidden="false" customHeight="false" outlineLevel="0" collapsed="false">
      <c r="A348" s="6" t="n">
        <v>347</v>
      </c>
      <c r="B348" s="7" t="s">
        <v>644</v>
      </c>
      <c r="C348" s="7" t="s">
        <v>739</v>
      </c>
      <c r="D348" s="8" t="s">
        <v>798</v>
      </c>
      <c r="E348" s="7" t="s">
        <v>799</v>
      </c>
      <c r="F348" s="6" t="s">
        <v>476</v>
      </c>
      <c r="G348" s="7" t="s">
        <v>43</v>
      </c>
      <c r="H348" s="7" t="s">
        <v>20</v>
      </c>
      <c r="I348" s="7" t="s">
        <v>243</v>
      </c>
      <c r="J348" s="6" t="s">
        <v>528</v>
      </c>
      <c r="K348" s="6" t="n">
        <v>7</v>
      </c>
      <c r="L348" s="7" t="s">
        <v>743</v>
      </c>
      <c r="M348" s="6" t="n">
        <v>28</v>
      </c>
      <c r="N348" s="7" t="s">
        <v>24</v>
      </c>
    </row>
    <row r="349" customFormat="false" ht="26.85" hidden="false" customHeight="false" outlineLevel="0" collapsed="false">
      <c r="A349" s="6" t="n">
        <v>348</v>
      </c>
      <c r="B349" s="7" t="s">
        <v>644</v>
      </c>
      <c r="C349" s="7" t="s">
        <v>739</v>
      </c>
      <c r="D349" s="8" t="s">
        <v>800</v>
      </c>
      <c r="E349" s="7" t="s">
        <v>789</v>
      </c>
      <c r="F349" s="6" t="s">
        <v>476</v>
      </c>
      <c r="G349" s="7" t="s">
        <v>43</v>
      </c>
      <c r="H349" s="7" t="s">
        <v>20</v>
      </c>
      <c r="I349" s="7" t="s">
        <v>192</v>
      </c>
      <c r="J349" s="6" t="s">
        <v>528</v>
      </c>
      <c r="K349" s="6" t="n">
        <v>7</v>
      </c>
      <c r="L349" s="7" t="s">
        <v>743</v>
      </c>
      <c r="M349" s="6" t="n">
        <v>29</v>
      </c>
      <c r="N349" s="7" t="s">
        <v>24</v>
      </c>
    </row>
    <row r="350" customFormat="false" ht="15" hidden="false" customHeight="false" outlineLevel="0" collapsed="false">
      <c r="A350" s="6" t="n">
        <v>349</v>
      </c>
      <c r="B350" s="7" t="s">
        <v>644</v>
      </c>
      <c r="C350" s="7" t="s">
        <v>739</v>
      </c>
      <c r="D350" s="8" t="s">
        <v>801</v>
      </c>
      <c r="E350" s="8" t="s">
        <v>802</v>
      </c>
      <c r="F350" s="6" t="s">
        <v>37</v>
      </c>
      <c r="G350" s="7" t="s">
        <v>27</v>
      </c>
      <c r="H350" s="7" t="s">
        <v>38</v>
      </c>
      <c r="I350" s="7" t="s">
        <v>559</v>
      </c>
      <c r="J350" s="6" t="s">
        <v>528</v>
      </c>
      <c r="K350" s="6" t="n">
        <v>7</v>
      </c>
      <c r="L350" s="7" t="s">
        <v>743</v>
      </c>
      <c r="M350" s="6" t="n">
        <v>30</v>
      </c>
      <c r="N350" s="7" t="s">
        <v>40</v>
      </c>
    </row>
    <row r="351" customFormat="false" ht="29.85" hidden="false" customHeight="false" outlineLevel="0" collapsed="false">
      <c r="A351" s="6" t="n">
        <v>350</v>
      </c>
      <c r="B351" s="7" t="s">
        <v>644</v>
      </c>
      <c r="C351" s="7" t="s">
        <v>739</v>
      </c>
      <c r="D351" s="8" t="s">
        <v>803</v>
      </c>
      <c r="E351" s="7" t="s">
        <v>799</v>
      </c>
      <c r="F351" s="6" t="s">
        <v>476</v>
      </c>
      <c r="G351" s="7" t="s">
        <v>43</v>
      </c>
      <c r="H351" s="7" t="s">
        <v>20</v>
      </c>
      <c r="I351" s="7" t="s">
        <v>254</v>
      </c>
      <c r="J351" s="6" t="s">
        <v>528</v>
      </c>
      <c r="K351" s="6" t="n">
        <v>7</v>
      </c>
      <c r="L351" s="7" t="s">
        <v>743</v>
      </c>
      <c r="M351" s="6" t="n">
        <v>31</v>
      </c>
      <c r="N351" s="7" t="s">
        <v>24</v>
      </c>
    </row>
    <row r="352" customFormat="false" ht="29.85" hidden="false" customHeight="false" outlineLevel="0" collapsed="false">
      <c r="A352" s="6" t="n">
        <v>351</v>
      </c>
      <c r="B352" s="7" t="s">
        <v>644</v>
      </c>
      <c r="C352" s="7" t="s">
        <v>739</v>
      </c>
      <c r="D352" s="8" t="s">
        <v>804</v>
      </c>
      <c r="E352" s="7" t="s">
        <v>805</v>
      </c>
      <c r="F352" s="6" t="s">
        <v>476</v>
      </c>
      <c r="G352" s="7" t="s">
        <v>43</v>
      </c>
      <c r="H352" s="7" t="s">
        <v>20</v>
      </c>
      <c r="I352" s="7" t="s">
        <v>254</v>
      </c>
      <c r="J352" s="6" t="s">
        <v>528</v>
      </c>
      <c r="K352" s="6" t="n">
        <v>7</v>
      </c>
      <c r="L352" s="7" t="s">
        <v>743</v>
      </c>
      <c r="M352" s="6" t="n">
        <v>32</v>
      </c>
      <c r="N352" s="7" t="s">
        <v>24</v>
      </c>
    </row>
    <row r="353" customFormat="false" ht="29.85" hidden="false" customHeight="false" outlineLevel="0" collapsed="false">
      <c r="A353" s="6" t="n">
        <v>352</v>
      </c>
      <c r="B353" s="7" t="s">
        <v>644</v>
      </c>
      <c r="C353" s="7" t="s">
        <v>739</v>
      </c>
      <c r="D353" s="8" t="s">
        <v>806</v>
      </c>
      <c r="E353" s="7" t="s">
        <v>756</v>
      </c>
      <c r="F353" s="6" t="s">
        <v>476</v>
      </c>
      <c r="G353" s="7" t="s">
        <v>43</v>
      </c>
      <c r="H353" s="7" t="s">
        <v>20</v>
      </c>
      <c r="I353" s="7" t="s">
        <v>76</v>
      </c>
      <c r="J353" s="6" t="s">
        <v>528</v>
      </c>
      <c r="K353" s="6" t="n">
        <v>7</v>
      </c>
      <c r="L353" s="7" t="s">
        <v>743</v>
      </c>
      <c r="M353" s="6" t="n">
        <v>33</v>
      </c>
      <c r="N353" s="7" t="s">
        <v>24</v>
      </c>
    </row>
    <row r="354" customFormat="false" ht="29.85" hidden="false" customHeight="false" outlineLevel="0" collapsed="false">
      <c r="A354" s="6" t="n">
        <v>353</v>
      </c>
      <c r="B354" s="7" t="s">
        <v>644</v>
      </c>
      <c r="C354" s="7" t="s">
        <v>739</v>
      </c>
      <c r="D354" s="8" t="s">
        <v>807</v>
      </c>
      <c r="E354" s="7" t="s">
        <v>797</v>
      </c>
      <c r="F354" s="6" t="s">
        <v>476</v>
      </c>
      <c r="G354" s="7" t="s">
        <v>43</v>
      </c>
      <c r="H354" s="7" t="s">
        <v>20</v>
      </c>
      <c r="I354" s="7" t="s">
        <v>85</v>
      </c>
      <c r="J354" s="6" t="s">
        <v>528</v>
      </c>
      <c r="K354" s="6" t="n">
        <v>7</v>
      </c>
      <c r="L354" s="7" t="s">
        <v>743</v>
      </c>
      <c r="M354" s="6" t="n">
        <v>34</v>
      </c>
      <c r="N354" s="7" t="s">
        <v>24</v>
      </c>
    </row>
    <row r="355" customFormat="false" ht="15" hidden="false" customHeight="false" outlineLevel="0" collapsed="false">
      <c r="A355" s="6" t="n">
        <v>354</v>
      </c>
      <c r="B355" s="7" t="s">
        <v>644</v>
      </c>
      <c r="C355" s="7" t="s">
        <v>739</v>
      </c>
      <c r="D355" s="8" t="s">
        <v>808</v>
      </c>
      <c r="E355" s="8" t="s">
        <v>809</v>
      </c>
      <c r="F355" s="6" t="s">
        <v>37</v>
      </c>
      <c r="G355" s="7" t="s">
        <v>27</v>
      </c>
      <c r="H355" s="7" t="s">
        <v>38</v>
      </c>
      <c r="I355" s="7" t="s">
        <v>559</v>
      </c>
      <c r="J355" s="6" t="s">
        <v>528</v>
      </c>
      <c r="K355" s="6" t="n">
        <v>7</v>
      </c>
      <c r="L355" s="7" t="s">
        <v>743</v>
      </c>
      <c r="M355" s="6" t="n">
        <v>35</v>
      </c>
      <c r="N355" s="7" t="s">
        <v>40</v>
      </c>
    </row>
    <row r="356" customFormat="false" ht="29.85" hidden="false" customHeight="false" outlineLevel="0" collapsed="false">
      <c r="A356" s="6" t="n">
        <v>355</v>
      </c>
      <c r="B356" s="7" t="s">
        <v>644</v>
      </c>
      <c r="C356" s="7" t="s">
        <v>739</v>
      </c>
      <c r="D356" s="8" t="s">
        <v>810</v>
      </c>
      <c r="E356" s="7" t="s">
        <v>811</v>
      </c>
      <c r="F356" s="6" t="s">
        <v>476</v>
      </c>
      <c r="G356" s="7" t="s">
        <v>43</v>
      </c>
      <c r="H356" s="7" t="s">
        <v>20</v>
      </c>
      <c r="I356" s="7" t="s">
        <v>88</v>
      </c>
      <c r="J356" s="6" t="s">
        <v>528</v>
      </c>
      <c r="K356" s="6" t="n">
        <v>7</v>
      </c>
      <c r="L356" s="7" t="s">
        <v>743</v>
      </c>
      <c r="M356" s="6" t="n">
        <v>36</v>
      </c>
      <c r="N356" s="7" t="s">
        <v>24</v>
      </c>
    </row>
    <row r="357" customFormat="false" ht="29.85" hidden="false" customHeight="false" outlineLevel="0" collapsed="false">
      <c r="A357" s="6" t="n">
        <v>356</v>
      </c>
      <c r="B357" s="7" t="s">
        <v>644</v>
      </c>
      <c r="C357" s="7" t="s">
        <v>739</v>
      </c>
      <c r="D357" s="8" t="s">
        <v>812</v>
      </c>
      <c r="E357" s="7" t="s">
        <v>813</v>
      </c>
      <c r="F357" s="6" t="s">
        <v>476</v>
      </c>
      <c r="G357" s="7" t="s">
        <v>43</v>
      </c>
      <c r="H357" s="7" t="s">
        <v>20</v>
      </c>
      <c r="I357" s="7" t="s">
        <v>88</v>
      </c>
      <c r="J357" s="6" t="s">
        <v>528</v>
      </c>
      <c r="K357" s="6" t="n">
        <v>7</v>
      </c>
      <c r="L357" s="7" t="s">
        <v>743</v>
      </c>
      <c r="M357" s="6" t="n">
        <v>37</v>
      </c>
      <c r="N357" s="7" t="s">
        <v>24</v>
      </c>
    </row>
    <row r="358" customFormat="false" ht="29.85" hidden="false" customHeight="false" outlineLevel="0" collapsed="false">
      <c r="A358" s="6" t="n">
        <v>357</v>
      </c>
      <c r="B358" s="7" t="s">
        <v>644</v>
      </c>
      <c r="C358" s="7" t="s">
        <v>739</v>
      </c>
      <c r="D358" s="8" t="s">
        <v>814</v>
      </c>
      <c r="E358" s="7" t="s">
        <v>815</v>
      </c>
      <c r="F358" s="6" t="s">
        <v>476</v>
      </c>
      <c r="G358" s="7" t="s">
        <v>43</v>
      </c>
      <c r="H358" s="7" t="s">
        <v>20</v>
      </c>
      <c r="I358" s="7" t="s">
        <v>91</v>
      </c>
      <c r="J358" s="6" t="s">
        <v>528</v>
      </c>
      <c r="K358" s="6" t="n">
        <v>7</v>
      </c>
      <c r="L358" s="7" t="s">
        <v>743</v>
      </c>
      <c r="M358" s="6" t="n">
        <v>38</v>
      </c>
      <c r="N358" s="7" t="s">
        <v>24</v>
      </c>
    </row>
    <row r="359" customFormat="false" ht="29.85" hidden="false" customHeight="false" outlineLevel="0" collapsed="false">
      <c r="A359" s="6" t="n">
        <v>358</v>
      </c>
      <c r="B359" s="7" t="s">
        <v>644</v>
      </c>
      <c r="C359" s="7" t="s">
        <v>739</v>
      </c>
      <c r="D359" s="8" t="s">
        <v>816</v>
      </c>
      <c r="E359" s="7" t="s">
        <v>817</v>
      </c>
      <c r="F359" s="6" t="s">
        <v>476</v>
      </c>
      <c r="G359" s="7" t="s">
        <v>43</v>
      </c>
      <c r="H359" s="7" t="s">
        <v>20</v>
      </c>
      <c r="I359" s="7" t="s">
        <v>457</v>
      </c>
      <c r="J359" s="6" t="s">
        <v>528</v>
      </c>
      <c r="K359" s="6" t="n">
        <v>7</v>
      </c>
      <c r="L359" s="7" t="s">
        <v>743</v>
      </c>
      <c r="M359" s="6" t="n">
        <v>39</v>
      </c>
      <c r="N359" s="7" t="s">
        <v>24</v>
      </c>
    </row>
    <row r="360" customFormat="false" ht="15" hidden="false" customHeight="false" outlineLevel="0" collapsed="false">
      <c r="A360" s="6" t="n">
        <v>359</v>
      </c>
      <c r="B360" s="7" t="s">
        <v>644</v>
      </c>
      <c r="C360" s="7" t="s">
        <v>739</v>
      </c>
      <c r="D360" s="8" t="s">
        <v>818</v>
      </c>
      <c r="E360" s="7" t="s">
        <v>819</v>
      </c>
      <c r="F360" s="6" t="s">
        <v>37</v>
      </c>
      <c r="G360" s="7" t="s">
        <v>27</v>
      </c>
      <c r="H360" s="7" t="s">
        <v>38</v>
      </c>
      <c r="I360" s="7" t="s">
        <v>559</v>
      </c>
      <c r="J360" s="6" t="s">
        <v>528</v>
      </c>
      <c r="K360" s="6" t="n">
        <v>7</v>
      </c>
      <c r="L360" s="7" t="s">
        <v>743</v>
      </c>
      <c r="M360" s="6" t="n">
        <v>40</v>
      </c>
      <c r="N360" s="7" t="s">
        <v>40</v>
      </c>
    </row>
    <row r="361" customFormat="false" ht="29.85" hidden="false" customHeight="false" outlineLevel="0" collapsed="false">
      <c r="A361" s="6" t="n">
        <v>360</v>
      </c>
      <c r="B361" s="7" t="s">
        <v>644</v>
      </c>
      <c r="C361" s="7" t="s">
        <v>739</v>
      </c>
      <c r="D361" s="8" t="s">
        <v>820</v>
      </c>
      <c r="E361" s="7" t="s">
        <v>821</v>
      </c>
      <c r="F361" s="6" t="s">
        <v>476</v>
      </c>
      <c r="G361" s="7" t="s">
        <v>43</v>
      </c>
      <c r="H361" s="7" t="s">
        <v>20</v>
      </c>
      <c r="I361" s="7" t="s">
        <v>98</v>
      </c>
      <c r="J361" s="6" t="s">
        <v>528</v>
      </c>
      <c r="K361" s="6" t="n">
        <v>7</v>
      </c>
      <c r="L361" s="7" t="s">
        <v>743</v>
      </c>
      <c r="M361" s="6" t="n">
        <v>41</v>
      </c>
      <c r="N361" s="7" t="s">
        <v>24</v>
      </c>
    </row>
    <row r="362" customFormat="false" ht="29.85" hidden="false" customHeight="false" outlineLevel="0" collapsed="false">
      <c r="A362" s="6" t="n">
        <v>361</v>
      </c>
      <c r="B362" s="7" t="s">
        <v>644</v>
      </c>
      <c r="C362" s="7" t="s">
        <v>739</v>
      </c>
      <c r="D362" s="8" t="s">
        <v>822</v>
      </c>
      <c r="E362" s="7" t="s">
        <v>823</v>
      </c>
      <c r="F362" s="6" t="s">
        <v>476</v>
      </c>
      <c r="G362" s="7" t="s">
        <v>43</v>
      </c>
      <c r="H362" s="7" t="s">
        <v>20</v>
      </c>
      <c r="I362" s="7" t="s">
        <v>105</v>
      </c>
      <c r="J362" s="6" t="s">
        <v>528</v>
      </c>
      <c r="K362" s="6" t="n">
        <v>7</v>
      </c>
      <c r="L362" s="7" t="s">
        <v>743</v>
      </c>
      <c r="M362" s="6" t="n">
        <v>42</v>
      </c>
      <c r="N362" s="7" t="s">
        <v>24</v>
      </c>
    </row>
    <row r="363" customFormat="false" ht="29.85" hidden="false" customHeight="false" outlineLevel="0" collapsed="false">
      <c r="A363" s="6" t="n">
        <v>362</v>
      </c>
      <c r="B363" s="7" t="s">
        <v>644</v>
      </c>
      <c r="C363" s="7" t="s">
        <v>739</v>
      </c>
      <c r="D363" s="8" t="s">
        <v>824</v>
      </c>
      <c r="E363" s="7" t="s">
        <v>825</v>
      </c>
      <c r="F363" s="6" t="s">
        <v>476</v>
      </c>
      <c r="G363" s="7" t="s">
        <v>43</v>
      </c>
      <c r="H363" s="7" t="s">
        <v>20</v>
      </c>
      <c r="I363" s="7" t="s">
        <v>150</v>
      </c>
      <c r="J363" s="6" t="s">
        <v>528</v>
      </c>
      <c r="K363" s="6" t="n">
        <v>7</v>
      </c>
      <c r="L363" s="7" t="s">
        <v>743</v>
      </c>
      <c r="M363" s="6" t="n">
        <v>43</v>
      </c>
      <c r="N363" s="7" t="s">
        <v>24</v>
      </c>
    </row>
    <row r="364" customFormat="false" ht="29.85" hidden="false" customHeight="false" outlineLevel="0" collapsed="false">
      <c r="A364" s="6" t="n">
        <v>363</v>
      </c>
      <c r="B364" s="7" t="s">
        <v>644</v>
      </c>
      <c r="C364" s="7" t="s">
        <v>739</v>
      </c>
      <c r="D364" s="8" t="s">
        <v>826</v>
      </c>
      <c r="E364" s="7" t="s">
        <v>827</v>
      </c>
      <c r="F364" s="6" t="s">
        <v>476</v>
      </c>
      <c r="G364" s="7" t="s">
        <v>43</v>
      </c>
      <c r="H364" s="7" t="s">
        <v>20</v>
      </c>
      <c r="I364" s="7" t="s">
        <v>51</v>
      </c>
      <c r="J364" s="6" t="s">
        <v>528</v>
      </c>
      <c r="K364" s="6" t="n">
        <v>7</v>
      </c>
      <c r="L364" s="7" t="s">
        <v>743</v>
      </c>
      <c r="M364" s="6" t="n">
        <v>44</v>
      </c>
      <c r="N364" s="7" t="s">
        <v>24</v>
      </c>
    </row>
    <row r="365" customFormat="false" ht="15" hidden="false" customHeight="false" outlineLevel="0" collapsed="false">
      <c r="A365" s="6" t="n">
        <v>364</v>
      </c>
      <c r="B365" s="7" t="s">
        <v>644</v>
      </c>
      <c r="C365" s="7" t="s">
        <v>739</v>
      </c>
      <c r="D365" s="8" t="s">
        <v>828</v>
      </c>
      <c r="E365" s="7" t="s">
        <v>829</v>
      </c>
      <c r="F365" s="6" t="s">
        <v>37</v>
      </c>
      <c r="G365" s="7" t="s">
        <v>27</v>
      </c>
      <c r="H365" s="7" t="s">
        <v>38</v>
      </c>
      <c r="I365" s="7" t="s">
        <v>410</v>
      </c>
      <c r="J365" s="6" t="s">
        <v>528</v>
      </c>
      <c r="K365" s="6" t="n">
        <v>7</v>
      </c>
      <c r="L365" s="7" t="s">
        <v>743</v>
      </c>
      <c r="M365" s="6" t="n">
        <v>45</v>
      </c>
      <c r="N365" s="7" t="s">
        <v>40</v>
      </c>
    </row>
    <row r="366" customFormat="false" ht="29.85" hidden="false" customHeight="false" outlineLevel="0" collapsed="false">
      <c r="A366" s="6" t="n">
        <v>365</v>
      </c>
      <c r="B366" s="7" t="s">
        <v>644</v>
      </c>
      <c r="C366" s="7" t="s">
        <v>739</v>
      </c>
      <c r="D366" s="8" t="s">
        <v>830</v>
      </c>
      <c r="E366" s="7" t="s">
        <v>831</v>
      </c>
      <c r="F366" s="6" t="s">
        <v>476</v>
      </c>
      <c r="G366" s="7" t="s">
        <v>43</v>
      </c>
      <c r="H366" s="7" t="s">
        <v>20</v>
      </c>
      <c r="I366" s="7" t="s">
        <v>289</v>
      </c>
      <c r="J366" s="6" t="s">
        <v>528</v>
      </c>
      <c r="K366" s="6" t="n">
        <v>7</v>
      </c>
      <c r="L366" s="7" t="s">
        <v>743</v>
      </c>
      <c r="M366" s="6" t="n">
        <v>46</v>
      </c>
      <c r="N366" s="7" t="s">
        <v>24</v>
      </c>
    </row>
    <row r="367" customFormat="false" ht="29.85" hidden="false" customHeight="false" outlineLevel="0" collapsed="false">
      <c r="A367" s="6" t="n">
        <v>366</v>
      </c>
      <c r="B367" s="7" t="s">
        <v>644</v>
      </c>
      <c r="C367" s="7" t="s">
        <v>739</v>
      </c>
      <c r="D367" s="8" t="s">
        <v>832</v>
      </c>
      <c r="E367" s="7" t="s">
        <v>833</v>
      </c>
      <c r="F367" s="6" t="s">
        <v>760</v>
      </c>
      <c r="G367" s="7" t="s">
        <v>27</v>
      </c>
      <c r="H367" s="7" t="s">
        <v>20</v>
      </c>
      <c r="I367" s="7" t="s">
        <v>289</v>
      </c>
      <c r="J367" s="6" t="s">
        <v>528</v>
      </c>
      <c r="K367" s="6" t="n">
        <v>7</v>
      </c>
      <c r="L367" s="7" t="s">
        <v>743</v>
      </c>
      <c r="M367" s="6" t="n">
        <v>47</v>
      </c>
      <c r="N367" s="7" t="s">
        <v>24</v>
      </c>
    </row>
    <row r="368" customFormat="false" ht="29.85" hidden="false" customHeight="false" outlineLevel="0" collapsed="false">
      <c r="A368" s="6" t="n">
        <v>367</v>
      </c>
      <c r="B368" s="7" t="s">
        <v>644</v>
      </c>
      <c r="C368" s="7" t="s">
        <v>739</v>
      </c>
      <c r="D368" s="8" t="s">
        <v>834</v>
      </c>
      <c r="E368" s="7" t="s">
        <v>835</v>
      </c>
      <c r="F368" s="6" t="s">
        <v>476</v>
      </c>
      <c r="G368" s="7" t="s">
        <v>43</v>
      </c>
      <c r="H368" s="7" t="s">
        <v>20</v>
      </c>
      <c r="I368" s="7" t="s">
        <v>295</v>
      </c>
      <c r="J368" s="6" t="s">
        <v>528</v>
      </c>
      <c r="K368" s="6" t="n">
        <v>7</v>
      </c>
      <c r="L368" s="7" t="s">
        <v>743</v>
      </c>
      <c r="M368" s="6" t="n">
        <v>48</v>
      </c>
      <c r="N368" s="7" t="s">
        <v>24</v>
      </c>
    </row>
    <row r="369" customFormat="false" ht="29.85" hidden="false" customHeight="false" outlineLevel="0" collapsed="false">
      <c r="A369" s="6" t="n">
        <v>368</v>
      </c>
      <c r="B369" s="7" t="s">
        <v>644</v>
      </c>
      <c r="C369" s="7" t="s">
        <v>739</v>
      </c>
      <c r="D369" s="8" t="s">
        <v>836</v>
      </c>
      <c r="E369" s="7" t="s">
        <v>837</v>
      </c>
      <c r="F369" s="6" t="s">
        <v>476</v>
      </c>
      <c r="G369" s="7" t="s">
        <v>43</v>
      </c>
      <c r="H369" s="7" t="s">
        <v>20</v>
      </c>
      <c r="I369" s="7" t="s">
        <v>201</v>
      </c>
      <c r="J369" s="6" t="s">
        <v>528</v>
      </c>
      <c r="K369" s="6" t="n">
        <v>7</v>
      </c>
      <c r="L369" s="7" t="s">
        <v>743</v>
      </c>
      <c r="M369" s="6" t="n">
        <v>49</v>
      </c>
      <c r="N369" s="7" t="s">
        <v>24</v>
      </c>
    </row>
    <row r="370" customFormat="false" ht="15" hidden="false" customHeight="false" outlineLevel="0" collapsed="false">
      <c r="A370" s="6" t="n">
        <v>369</v>
      </c>
      <c r="B370" s="7" t="s">
        <v>644</v>
      </c>
      <c r="C370" s="7" t="s">
        <v>739</v>
      </c>
      <c r="D370" s="8" t="s">
        <v>838</v>
      </c>
      <c r="E370" s="7" t="s">
        <v>839</v>
      </c>
      <c r="F370" s="6" t="s">
        <v>37</v>
      </c>
      <c r="G370" s="7" t="s">
        <v>27</v>
      </c>
      <c r="H370" s="7" t="s">
        <v>38</v>
      </c>
      <c r="I370" s="7" t="s">
        <v>206</v>
      </c>
      <c r="J370" s="6" t="s">
        <v>528</v>
      </c>
      <c r="K370" s="6" t="n">
        <v>7</v>
      </c>
      <c r="L370" s="7" t="s">
        <v>743</v>
      </c>
      <c r="M370" s="6" t="n">
        <v>50</v>
      </c>
      <c r="N370" s="7" t="s">
        <v>40</v>
      </c>
    </row>
    <row r="371" customFormat="false" ht="29.85" hidden="false" customHeight="false" outlineLevel="0" collapsed="false">
      <c r="A371" s="6" t="n">
        <v>370</v>
      </c>
      <c r="B371" s="7" t="s">
        <v>644</v>
      </c>
      <c r="C371" s="7" t="s">
        <v>739</v>
      </c>
      <c r="D371" s="8" t="s">
        <v>840</v>
      </c>
      <c r="E371" s="7" t="s">
        <v>209</v>
      </c>
      <c r="F371" s="6" t="s">
        <v>476</v>
      </c>
      <c r="G371" s="7" t="s">
        <v>43</v>
      </c>
      <c r="H371" s="7" t="s">
        <v>20</v>
      </c>
      <c r="I371" s="7" t="s">
        <v>203</v>
      </c>
      <c r="J371" s="6" t="s">
        <v>528</v>
      </c>
      <c r="K371" s="6" t="n">
        <v>7</v>
      </c>
      <c r="L371" s="7" t="s">
        <v>743</v>
      </c>
      <c r="M371" s="6" t="n">
        <v>51</v>
      </c>
      <c r="N371" s="7" t="s">
        <v>24</v>
      </c>
    </row>
    <row r="372" customFormat="false" ht="15" hidden="false" customHeight="false" outlineLevel="0" collapsed="false">
      <c r="A372" s="6" t="n">
        <v>371</v>
      </c>
      <c r="B372" s="7" t="s">
        <v>644</v>
      </c>
      <c r="C372" s="7" t="s">
        <v>739</v>
      </c>
      <c r="D372" s="8" t="s">
        <v>841</v>
      </c>
      <c r="E372" s="7" t="s">
        <v>842</v>
      </c>
      <c r="F372" s="6" t="s">
        <v>37</v>
      </c>
      <c r="G372" s="7" t="s">
        <v>27</v>
      </c>
      <c r="H372" s="7" t="s">
        <v>38</v>
      </c>
      <c r="I372" s="7" t="s">
        <v>206</v>
      </c>
      <c r="J372" s="6" t="s">
        <v>528</v>
      </c>
      <c r="K372" s="6" t="n">
        <v>7</v>
      </c>
      <c r="L372" s="7" t="s">
        <v>743</v>
      </c>
      <c r="M372" s="6" t="n">
        <v>52</v>
      </c>
      <c r="N372" s="7" t="s">
        <v>40</v>
      </c>
    </row>
    <row r="373" customFormat="false" ht="15" hidden="false" customHeight="false" outlineLevel="0" collapsed="false">
      <c r="A373" s="6" t="n">
        <v>372</v>
      </c>
      <c r="B373" s="7" t="s">
        <v>644</v>
      </c>
      <c r="C373" s="7" t="s">
        <v>739</v>
      </c>
      <c r="D373" s="8" t="s">
        <v>843</v>
      </c>
      <c r="E373" s="8" t="s">
        <v>844</v>
      </c>
      <c r="F373" s="6" t="s">
        <v>37</v>
      </c>
      <c r="G373" s="7" t="s">
        <v>27</v>
      </c>
      <c r="H373" s="7" t="s">
        <v>38</v>
      </c>
      <c r="I373" s="7" t="s">
        <v>39</v>
      </c>
      <c r="J373" s="6" t="s">
        <v>528</v>
      </c>
      <c r="K373" s="6" t="n">
        <v>7</v>
      </c>
      <c r="L373" s="7" t="s">
        <v>743</v>
      </c>
      <c r="M373" s="6" t="n">
        <v>53</v>
      </c>
      <c r="N373" s="7" t="s">
        <v>40</v>
      </c>
    </row>
    <row r="374" customFormat="false" ht="15" hidden="false" customHeight="false" outlineLevel="0" collapsed="false">
      <c r="A374" s="6" t="n">
        <v>373</v>
      </c>
      <c r="B374" s="7" t="s">
        <v>644</v>
      </c>
      <c r="C374" s="7" t="s">
        <v>739</v>
      </c>
      <c r="D374" s="8" t="s">
        <v>845</v>
      </c>
      <c r="E374" s="7" t="s">
        <v>846</v>
      </c>
      <c r="F374" s="6" t="s">
        <v>37</v>
      </c>
      <c r="G374" s="7" t="s">
        <v>27</v>
      </c>
      <c r="H374" s="7" t="s">
        <v>38</v>
      </c>
      <c r="I374" s="7" t="s">
        <v>39</v>
      </c>
      <c r="J374" s="6" t="s">
        <v>528</v>
      </c>
      <c r="K374" s="6" t="n">
        <v>7</v>
      </c>
      <c r="L374" s="7" t="s">
        <v>743</v>
      </c>
      <c r="M374" s="6" t="n">
        <v>54</v>
      </c>
      <c r="N374" s="7" t="s">
        <v>40</v>
      </c>
    </row>
    <row r="375" customFormat="false" ht="15" hidden="false" customHeight="false" outlineLevel="0" collapsed="false">
      <c r="A375" s="6" t="n">
        <v>374</v>
      </c>
      <c r="B375" s="7" t="s">
        <v>644</v>
      </c>
      <c r="C375" s="7" t="s">
        <v>739</v>
      </c>
      <c r="D375" s="8" t="s">
        <v>847</v>
      </c>
      <c r="E375" s="7" t="s">
        <v>848</v>
      </c>
      <c r="F375" s="6" t="s">
        <v>82</v>
      </c>
      <c r="G375" s="7" t="s">
        <v>27</v>
      </c>
      <c r="H375" s="7" t="s">
        <v>38</v>
      </c>
      <c r="I375" s="7" t="s">
        <v>360</v>
      </c>
      <c r="J375" s="6" t="s">
        <v>528</v>
      </c>
      <c r="K375" s="6" t="n">
        <v>7</v>
      </c>
      <c r="L375" s="7" t="s">
        <v>743</v>
      </c>
      <c r="M375" s="6" t="n">
        <v>55</v>
      </c>
      <c r="N375" s="7" t="s">
        <v>40</v>
      </c>
    </row>
    <row r="376" customFormat="false" ht="15" hidden="false" customHeight="false" outlineLevel="0" collapsed="false">
      <c r="A376" s="6" t="n">
        <v>375</v>
      </c>
      <c r="B376" s="7" t="s">
        <v>644</v>
      </c>
      <c r="C376" s="7" t="s">
        <v>739</v>
      </c>
      <c r="D376" s="8" t="s">
        <v>849</v>
      </c>
      <c r="E376" s="7" t="s">
        <v>850</v>
      </c>
      <c r="F376" s="6" t="s">
        <v>37</v>
      </c>
      <c r="G376" s="7" t="s">
        <v>27</v>
      </c>
      <c r="H376" s="7" t="s">
        <v>38</v>
      </c>
      <c r="I376" s="7" t="s">
        <v>363</v>
      </c>
      <c r="J376" s="6" t="s">
        <v>528</v>
      </c>
      <c r="K376" s="6" t="n">
        <v>7</v>
      </c>
      <c r="L376" s="7" t="s">
        <v>743</v>
      </c>
      <c r="M376" s="6" t="n">
        <v>56</v>
      </c>
      <c r="N376" s="7" t="s">
        <v>40</v>
      </c>
    </row>
    <row r="377" customFormat="false" ht="15" hidden="false" customHeight="false" outlineLevel="0" collapsed="false">
      <c r="A377" s="6" t="n">
        <v>376</v>
      </c>
      <c r="B377" s="7" t="s">
        <v>644</v>
      </c>
      <c r="C377" s="7" t="s">
        <v>739</v>
      </c>
      <c r="D377" s="8" t="s">
        <v>851</v>
      </c>
      <c r="E377" s="7" t="s">
        <v>852</v>
      </c>
      <c r="F377" s="6" t="s">
        <v>37</v>
      </c>
      <c r="G377" s="7" t="s">
        <v>27</v>
      </c>
      <c r="H377" s="7" t="s">
        <v>38</v>
      </c>
      <c r="I377" s="7" t="s">
        <v>366</v>
      </c>
      <c r="J377" s="6" t="s">
        <v>528</v>
      </c>
      <c r="K377" s="6" t="n">
        <v>7</v>
      </c>
      <c r="L377" s="7" t="s">
        <v>743</v>
      </c>
      <c r="M377" s="6" t="n">
        <v>57</v>
      </c>
      <c r="N377" s="7" t="s">
        <v>40</v>
      </c>
    </row>
    <row r="378" customFormat="false" ht="15" hidden="false" customHeight="false" outlineLevel="0" collapsed="false">
      <c r="A378" s="6" t="n">
        <v>377</v>
      </c>
      <c r="B378" s="7" t="s">
        <v>644</v>
      </c>
      <c r="C378" s="7" t="s">
        <v>739</v>
      </c>
      <c r="D378" s="8" t="s">
        <v>853</v>
      </c>
      <c r="E378" s="8" t="s">
        <v>854</v>
      </c>
      <c r="F378" s="6" t="s">
        <v>37</v>
      </c>
      <c r="G378" s="7" t="s">
        <v>27</v>
      </c>
      <c r="H378" s="7" t="s">
        <v>38</v>
      </c>
      <c r="I378" s="7" t="s">
        <v>588</v>
      </c>
      <c r="J378" s="6" t="s">
        <v>528</v>
      </c>
      <c r="K378" s="6" t="n">
        <v>7</v>
      </c>
      <c r="L378" s="7" t="s">
        <v>743</v>
      </c>
      <c r="M378" s="6" t="n">
        <v>58</v>
      </c>
      <c r="N378" s="7" t="s">
        <v>40</v>
      </c>
    </row>
    <row r="379" customFormat="false" ht="15" hidden="false" customHeight="false" outlineLevel="0" collapsed="false">
      <c r="A379" s="6" t="n">
        <v>378</v>
      </c>
      <c r="B379" s="7" t="s">
        <v>644</v>
      </c>
      <c r="C379" s="7" t="s">
        <v>739</v>
      </c>
      <c r="D379" s="9" t="s">
        <v>855</v>
      </c>
      <c r="E379" s="6" t="s">
        <v>856</v>
      </c>
      <c r="F379" s="6" t="s">
        <v>378</v>
      </c>
      <c r="G379" s="7" t="s">
        <v>27</v>
      </c>
      <c r="H379" s="7" t="s">
        <v>38</v>
      </c>
      <c r="I379" s="7" t="s">
        <v>857</v>
      </c>
      <c r="J379" s="6" t="s">
        <v>528</v>
      </c>
      <c r="K379" s="6" t="n">
        <v>7</v>
      </c>
      <c r="L379" s="7" t="s">
        <v>743</v>
      </c>
      <c r="M379" s="6" t="n">
        <v>59</v>
      </c>
      <c r="N379" s="7" t="s">
        <v>40</v>
      </c>
    </row>
    <row r="380" customFormat="false" ht="15" hidden="false" customHeight="false" outlineLevel="0" collapsed="false">
      <c r="A380" s="6" t="n">
        <v>379</v>
      </c>
      <c r="B380" s="7" t="s">
        <v>644</v>
      </c>
      <c r="C380" s="7" t="s">
        <v>739</v>
      </c>
      <c r="D380" s="8" t="s">
        <v>858</v>
      </c>
      <c r="E380" s="7" t="s">
        <v>859</v>
      </c>
      <c r="F380" s="6" t="s">
        <v>37</v>
      </c>
      <c r="G380" s="7" t="s">
        <v>27</v>
      </c>
      <c r="H380" s="7" t="s">
        <v>38</v>
      </c>
      <c r="I380" s="7" t="s">
        <v>860</v>
      </c>
      <c r="J380" s="6" t="s">
        <v>528</v>
      </c>
      <c r="K380" s="6" t="n">
        <v>7</v>
      </c>
      <c r="L380" s="7" t="s">
        <v>743</v>
      </c>
      <c r="M380" s="6" t="n">
        <v>60</v>
      </c>
      <c r="N380" s="7" t="s">
        <v>40</v>
      </c>
    </row>
    <row r="381" customFormat="false" ht="15" hidden="false" customHeight="false" outlineLevel="0" collapsed="false">
      <c r="A381" s="6" t="n">
        <v>380</v>
      </c>
      <c r="B381" s="7" t="s">
        <v>644</v>
      </c>
      <c r="C381" s="7" t="s">
        <v>739</v>
      </c>
      <c r="D381" s="8" t="s">
        <v>861</v>
      </c>
      <c r="E381" s="7" t="s">
        <v>862</v>
      </c>
      <c r="F381" s="6" t="s">
        <v>37</v>
      </c>
      <c r="G381" s="7" t="s">
        <v>27</v>
      </c>
      <c r="H381" s="7" t="s">
        <v>38</v>
      </c>
      <c r="I381" s="7" t="s">
        <v>860</v>
      </c>
      <c r="J381" s="6" t="s">
        <v>528</v>
      </c>
      <c r="K381" s="6" t="n">
        <v>7</v>
      </c>
      <c r="L381" s="7" t="s">
        <v>743</v>
      </c>
      <c r="M381" s="6" t="n">
        <v>61</v>
      </c>
      <c r="N381" s="7" t="s">
        <v>40</v>
      </c>
    </row>
    <row r="382" customFormat="false" ht="15" hidden="false" customHeight="false" outlineLevel="0" collapsed="false">
      <c r="A382" s="6" t="n">
        <v>381</v>
      </c>
      <c r="B382" s="7" t="s">
        <v>644</v>
      </c>
      <c r="C382" s="7" t="s">
        <v>739</v>
      </c>
      <c r="D382" s="8" t="s">
        <v>863</v>
      </c>
      <c r="E382" s="7" t="s">
        <v>864</v>
      </c>
      <c r="F382" s="6" t="s">
        <v>37</v>
      </c>
      <c r="G382" s="7" t="s">
        <v>27</v>
      </c>
      <c r="H382" s="7" t="s">
        <v>38</v>
      </c>
      <c r="I382" s="7" t="s">
        <v>860</v>
      </c>
      <c r="J382" s="6" t="s">
        <v>528</v>
      </c>
      <c r="K382" s="6" t="n">
        <v>7</v>
      </c>
      <c r="L382" s="7" t="s">
        <v>743</v>
      </c>
      <c r="M382" s="6" t="n">
        <v>62</v>
      </c>
      <c r="N382" s="7" t="s">
        <v>40</v>
      </c>
    </row>
    <row r="383" customFormat="false" ht="15" hidden="false" customHeight="false" outlineLevel="0" collapsed="false">
      <c r="A383" s="6" t="n">
        <v>382</v>
      </c>
      <c r="B383" s="7" t="s">
        <v>644</v>
      </c>
      <c r="C383" s="7" t="s">
        <v>739</v>
      </c>
      <c r="D383" s="8" t="s">
        <v>865</v>
      </c>
      <c r="E383" s="7" t="s">
        <v>866</v>
      </c>
      <c r="F383" s="6" t="s">
        <v>37</v>
      </c>
      <c r="G383" s="7" t="s">
        <v>27</v>
      </c>
      <c r="H383" s="7" t="s">
        <v>38</v>
      </c>
      <c r="I383" s="7" t="s">
        <v>867</v>
      </c>
      <c r="J383" s="6" t="s">
        <v>528</v>
      </c>
      <c r="K383" s="6" t="n">
        <v>7</v>
      </c>
      <c r="L383" s="7" t="s">
        <v>743</v>
      </c>
      <c r="M383" s="6" t="n">
        <v>63</v>
      </c>
      <c r="N383" s="7" t="s">
        <v>40</v>
      </c>
    </row>
    <row r="384" customFormat="false" ht="29.85" hidden="false" customHeight="false" outlineLevel="0" collapsed="false">
      <c r="A384" s="6" t="n">
        <v>383</v>
      </c>
      <c r="B384" s="7" t="s">
        <v>644</v>
      </c>
      <c r="C384" s="7" t="s">
        <v>739</v>
      </c>
      <c r="D384" s="8" t="s">
        <v>868</v>
      </c>
      <c r="E384" s="7" t="s">
        <v>869</v>
      </c>
      <c r="F384" s="6" t="s">
        <v>37</v>
      </c>
      <c r="G384" s="7" t="s">
        <v>27</v>
      </c>
      <c r="H384" s="7" t="s">
        <v>38</v>
      </c>
      <c r="I384" s="7" t="s">
        <v>870</v>
      </c>
      <c r="J384" s="6" t="s">
        <v>528</v>
      </c>
      <c r="K384" s="6" t="n">
        <v>7</v>
      </c>
      <c r="L384" s="7" t="s">
        <v>743</v>
      </c>
      <c r="M384" s="6" t="n">
        <v>64</v>
      </c>
      <c r="N384" s="7" t="s">
        <v>40</v>
      </c>
    </row>
    <row r="385" customFormat="false" ht="15" hidden="false" customHeight="false" outlineLevel="0" collapsed="false">
      <c r="A385" s="6" t="n">
        <v>384</v>
      </c>
      <c r="B385" s="7" t="s">
        <v>644</v>
      </c>
      <c r="C385" s="7" t="s">
        <v>739</v>
      </c>
      <c r="D385" s="9" t="s">
        <v>871</v>
      </c>
      <c r="E385" s="7" t="s">
        <v>749</v>
      </c>
      <c r="F385" s="6" t="s">
        <v>526</v>
      </c>
      <c r="G385" s="7" t="s">
        <v>43</v>
      </c>
      <c r="H385" s="7" t="s">
        <v>38</v>
      </c>
      <c r="I385" s="7" t="s">
        <v>872</v>
      </c>
      <c r="J385" s="6" t="s">
        <v>528</v>
      </c>
      <c r="K385" s="6" t="n">
        <v>7</v>
      </c>
      <c r="L385" s="7" t="s">
        <v>743</v>
      </c>
      <c r="M385" s="6" t="n">
        <v>65</v>
      </c>
      <c r="N385" s="7" t="s">
        <v>40</v>
      </c>
    </row>
    <row r="386" customFormat="false" ht="29.85" hidden="false" customHeight="false" outlineLevel="0" collapsed="false">
      <c r="A386" s="6" t="n">
        <v>385</v>
      </c>
      <c r="B386" s="7" t="s">
        <v>644</v>
      </c>
      <c r="C386" s="7" t="s">
        <v>739</v>
      </c>
      <c r="D386" s="8" t="s">
        <v>873</v>
      </c>
      <c r="E386" s="6" t="s">
        <v>874</v>
      </c>
      <c r="F386" s="6" t="s">
        <v>37</v>
      </c>
      <c r="G386" s="7" t="s">
        <v>27</v>
      </c>
      <c r="H386" s="7" t="s">
        <v>38</v>
      </c>
      <c r="I386" s="7" t="s">
        <v>623</v>
      </c>
      <c r="J386" s="6" t="s">
        <v>528</v>
      </c>
      <c r="K386" s="6" t="n">
        <v>7</v>
      </c>
      <c r="L386" s="7" t="s">
        <v>743</v>
      </c>
      <c r="M386" s="6" t="n">
        <v>66</v>
      </c>
      <c r="N386" s="7" t="s">
        <v>40</v>
      </c>
    </row>
    <row r="387" customFormat="false" ht="29.85" hidden="false" customHeight="false" outlineLevel="0" collapsed="false">
      <c r="A387" s="6" t="n">
        <v>386</v>
      </c>
      <c r="B387" s="7" t="s">
        <v>644</v>
      </c>
      <c r="C387" s="7" t="s">
        <v>739</v>
      </c>
      <c r="D387" s="8" t="s">
        <v>875</v>
      </c>
      <c r="E387" s="7" t="s">
        <v>876</v>
      </c>
      <c r="F387" s="6" t="s">
        <v>37</v>
      </c>
      <c r="G387" s="7" t="s">
        <v>27</v>
      </c>
      <c r="H387" s="7" t="s">
        <v>38</v>
      </c>
      <c r="I387" s="7" t="s">
        <v>415</v>
      </c>
      <c r="J387" s="6" t="s">
        <v>528</v>
      </c>
      <c r="K387" s="6" t="n">
        <v>7</v>
      </c>
      <c r="L387" s="7" t="s">
        <v>743</v>
      </c>
      <c r="M387" s="6" t="n">
        <v>67</v>
      </c>
      <c r="N387" s="7" t="s">
        <v>40</v>
      </c>
    </row>
    <row r="388" customFormat="false" ht="29.85" hidden="false" customHeight="false" outlineLevel="0" collapsed="false">
      <c r="A388" s="6" t="n">
        <v>387</v>
      </c>
      <c r="B388" s="7" t="s">
        <v>644</v>
      </c>
      <c r="C388" s="7" t="s">
        <v>739</v>
      </c>
      <c r="D388" s="8" t="s">
        <v>877</v>
      </c>
      <c r="E388" s="8" t="s">
        <v>878</v>
      </c>
      <c r="F388" s="6" t="s">
        <v>37</v>
      </c>
      <c r="G388" s="7" t="s">
        <v>27</v>
      </c>
      <c r="H388" s="7" t="s">
        <v>38</v>
      </c>
      <c r="I388" s="7" t="s">
        <v>415</v>
      </c>
      <c r="J388" s="6" t="s">
        <v>528</v>
      </c>
      <c r="K388" s="6" t="n">
        <v>7</v>
      </c>
      <c r="L388" s="7" t="s">
        <v>743</v>
      </c>
      <c r="M388" s="6" t="n">
        <v>68</v>
      </c>
      <c r="N388" s="7" t="s">
        <v>40</v>
      </c>
    </row>
    <row r="389" customFormat="false" ht="29.85" hidden="false" customHeight="false" outlineLevel="0" collapsed="false">
      <c r="A389" s="6" t="n">
        <v>388</v>
      </c>
      <c r="B389" s="7" t="s">
        <v>644</v>
      </c>
      <c r="C389" s="7" t="s">
        <v>739</v>
      </c>
      <c r="D389" s="8" t="s">
        <v>879</v>
      </c>
      <c r="E389" s="6" t="s">
        <v>880</v>
      </c>
      <c r="F389" s="6" t="s">
        <v>378</v>
      </c>
      <c r="G389" s="7" t="s">
        <v>27</v>
      </c>
      <c r="H389" s="7" t="s">
        <v>38</v>
      </c>
      <c r="I389" s="7" t="s">
        <v>493</v>
      </c>
      <c r="J389" s="6" t="s">
        <v>528</v>
      </c>
      <c r="K389" s="6" t="n">
        <v>7</v>
      </c>
      <c r="L389" s="7" t="s">
        <v>743</v>
      </c>
      <c r="M389" s="6" t="n">
        <v>69</v>
      </c>
      <c r="N389" s="7" t="s">
        <v>40</v>
      </c>
    </row>
    <row r="390" customFormat="false" ht="29.85" hidden="false" customHeight="false" outlineLevel="0" collapsed="false">
      <c r="A390" s="6" t="n">
        <v>389</v>
      </c>
      <c r="B390" s="7" t="s">
        <v>644</v>
      </c>
      <c r="C390" s="7" t="s">
        <v>739</v>
      </c>
      <c r="D390" s="8" t="s">
        <v>881</v>
      </c>
      <c r="E390" s="7" t="s">
        <v>749</v>
      </c>
      <c r="F390" s="6" t="s">
        <v>526</v>
      </c>
      <c r="G390" s="7" t="s">
        <v>43</v>
      </c>
      <c r="H390" s="7" t="s">
        <v>38</v>
      </c>
      <c r="I390" s="7" t="s">
        <v>496</v>
      </c>
      <c r="J390" s="6" t="s">
        <v>528</v>
      </c>
      <c r="K390" s="6" t="n">
        <v>7</v>
      </c>
      <c r="L390" s="7" t="s">
        <v>743</v>
      </c>
      <c r="M390" s="6" t="n">
        <v>70</v>
      </c>
      <c r="N390" s="7" t="s">
        <v>40</v>
      </c>
    </row>
    <row r="391" customFormat="false" ht="29.85" hidden="false" customHeight="false" outlineLevel="0" collapsed="false">
      <c r="A391" s="6" t="n">
        <v>390</v>
      </c>
      <c r="B391" s="7" t="s">
        <v>644</v>
      </c>
      <c r="C391" s="7" t="s">
        <v>739</v>
      </c>
      <c r="D391" s="8" t="s">
        <v>882</v>
      </c>
      <c r="E391" s="7" t="s">
        <v>852</v>
      </c>
      <c r="F391" s="6" t="s">
        <v>37</v>
      </c>
      <c r="G391" s="7" t="s">
        <v>27</v>
      </c>
      <c r="H391" s="7" t="s">
        <v>38</v>
      </c>
      <c r="I391" s="7" t="s">
        <v>883</v>
      </c>
      <c r="J391" s="6" t="s">
        <v>528</v>
      </c>
      <c r="K391" s="6" t="n">
        <v>7</v>
      </c>
      <c r="L391" s="7" t="s">
        <v>743</v>
      </c>
      <c r="M391" s="6" t="n">
        <v>71</v>
      </c>
      <c r="N391" s="7" t="s">
        <v>40</v>
      </c>
    </row>
    <row r="392" customFormat="false" ht="29.85" hidden="false" customHeight="false" outlineLevel="0" collapsed="false">
      <c r="A392" s="6" t="n">
        <v>391</v>
      </c>
      <c r="B392" s="7" t="s">
        <v>644</v>
      </c>
      <c r="C392" s="7" t="s">
        <v>739</v>
      </c>
      <c r="D392" s="8" t="s">
        <v>884</v>
      </c>
      <c r="E392" s="7" t="s">
        <v>885</v>
      </c>
      <c r="F392" s="6" t="s">
        <v>476</v>
      </c>
      <c r="G392" s="7" t="s">
        <v>43</v>
      </c>
      <c r="H392" s="7" t="s">
        <v>38</v>
      </c>
      <c r="I392" s="7" t="s">
        <v>886</v>
      </c>
      <c r="J392" s="6" t="s">
        <v>528</v>
      </c>
      <c r="K392" s="6" t="n">
        <v>7</v>
      </c>
      <c r="L392" s="7" t="s">
        <v>743</v>
      </c>
      <c r="M392" s="6" t="n">
        <v>72</v>
      </c>
      <c r="N392" s="7" t="s">
        <v>40</v>
      </c>
    </row>
    <row r="393" customFormat="false" ht="29.85" hidden="false" customHeight="false" outlineLevel="0" collapsed="false">
      <c r="A393" s="6" t="n">
        <v>392</v>
      </c>
      <c r="B393" s="7" t="s">
        <v>644</v>
      </c>
      <c r="C393" s="7" t="s">
        <v>739</v>
      </c>
      <c r="D393" s="8" t="s">
        <v>887</v>
      </c>
      <c r="E393" s="7" t="s">
        <v>888</v>
      </c>
      <c r="F393" s="6" t="s">
        <v>476</v>
      </c>
      <c r="G393" s="7" t="s">
        <v>43</v>
      </c>
      <c r="H393" s="7" t="s">
        <v>38</v>
      </c>
      <c r="I393" s="7" t="s">
        <v>505</v>
      </c>
      <c r="J393" s="6" t="s">
        <v>528</v>
      </c>
      <c r="K393" s="6" t="n">
        <v>7</v>
      </c>
      <c r="L393" s="7" t="s">
        <v>743</v>
      </c>
      <c r="M393" s="6" t="n">
        <v>73</v>
      </c>
      <c r="N393" s="7" t="s">
        <v>40</v>
      </c>
    </row>
    <row r="394" customFormat="false" ht="29.85" hidden="false" customHeight="false" outlineLevel="0" collapsed="false">
      <c r="A394" s="6" t="n">
        <v>393</v>
      </c>
      <c r="B394" s="7" t="s">
        <v>644</v>
      </c>
      <c r="C394" s="7" t="s">
        <v>739</v>
      </c>
      <c r="D394" s="8" t="s">
        <v>889</v>
      </c>
      <c r="E394" s="7" t="s">
        <v>852</v>
      </c>
      <c r="F394" s="6" t="s">
        <v>37</v>
      </c>
      <c r="G394" s="7" t="s">
        <v>27</v>
      </c>
      <c r="H394" s="7" t="s">
        <v>38</v>
      </c>
      <c r="I394" s="7" t="s">
        <v>890</v>
      </c>
      <c r="J394" s="6" t="s">
        <v>528</v>
      </c>
      <c r="K394" s="6" t="n">
        <v>7</v>
      </c>
      <c r="L394" s="7" t="s">
        <v>743</v>
      </c>
      <c r="M394" s="6" t="n">
        <v>74</v>
      </c>
      <c r="N394" s="7" t="s">
        <v>40</v>
      </c>
    </row>
    <row r="395" customFormat="false" ht="29.85" hidden="false" customHeight="false" outlineLevel="0" collapsed="false">
      <c r="A395" s="6" t="n">
        <v>394</v>
      </c>
      <c r="B395" s="7" t="s">
        <v>644</v>
      </c>
      <c r="C395" s="7" t="s">
        <v>739</v>
      </c>
      <c r="D395" s="8" t="s">
        <v>891</v>
      </c>
      <c r="E395" s="7" t="s">
        <v>892</v>
      </c>
      <c r="F395" s="6" t="s">
        <v>476</v>
      </c>
      <c r="G395" s="7" t="s">
        <v>43</v>
      </c>
      <c r="H395" s="7" t="s">
        <v>38</v>
      </c>
      <c r="I395" s="7" t="s">
        <v>637</v>
      </c>
      <c r="J395" s="6" t="s">
        <v>528</v>
      </c>
      <c r="K395" s="6" t="n">
        <v>7</v>
      </c>
      <c r="L395" s="7" t="s">
        <v>743</v>
      </c>
      <c r="M395" s="6" t="n">
        <v>75</v>
      </c>
      <c r="N395" s="7" t="s">
        <v>40</v>
      </c>
    </row>
    <row r="396" customFormat="false" ht="29.85" hidden="false" customHeight="false" outlineLevel="0" collapsed="false">
      <c r="A396" s="6" t="n">
        <v>395</v>
      </c>
      <c r="B396" s="7" t="s">
        <v>644</v>
      </c>
      <c r="C396" s="7" t="s">
        <v>739</v>
      </c>
      <c r="D396" s="8" t="s">
        <v>893</v>
      </c>
      <c r="E396" s="7" t="s">
        <v>894</v>
      </c>
      <c r="F396" s="6" t="s">
        <v>476</v>
      </c>
      <c r="G396" s="7" t="s">
        <v>43</v>
      </c>
      <c r="H396" s="7" t="s">
        <v>38</v>
      </c>
      <c r="I396" s="7" t="s">
        <v>637</v>
      </c>
      <c r="J396" s="6" t="s">
        <v>528</v>
      </c>
      <c r="K396" s="6" t="n">
        <v>7</v>
      </c>
      <c r="L396" s="7" t="s">
        <v>743</v>
      </c>
      <c r="M396" s="6" t="n">
        <v>76</v>
      </c>
      <c r="N396" s="7" t="s">
        <v>40</v>
      </c>
    </row>
    <row r="397" customFormat="false" ht="29.85" hidden="false" customHeight="false" outlineLevel="0" collapsed="false">
      <c r="A397" s="6" t="n">
        <v>396</v>
      </c>
      <c r="B397" s="7" t="s">
        <v>644</v>
      </c>
      <c r="C397" s="7" t="s">
        <v>739</v>
      </c>
      <c r="D397" s="8" t="s">
        <v>895</v>
      </c>
      <c r="E397" s="7" t="s">
        <v>835</v>
      </c>
      <c r="F397" s="6" t="s">
        <v>476</v>
      </c>
      <c r="G397" s="7" t="s">
        <v>43</v>
      </c>
      <c r="H397" s="7" t="s">
        <v>38</v>
      </c>
      <c r="I397" s="7" t="s">
        <v>53</v>
      </c>
      <c r="J397" s="6" t="s">
        <v>528</v>
      </c>
      <c r="K397" s="6" t="n">
        <v>7</v>
      </c>
      <c r="L397" s="7" t="s">
        <v>743</v>
      </c>
      <c r="M397" s="6" t="n">
        <v>77</v>
      </c>
      <c r="N397" s="7" t="s">
        <v>40</v>
      </c>
    </row>
    <row r="398" customFormat="false" ht="29.85" hidden="false" customHeight="false" outlineLevel="0" collapsed="false">
      <c r="A398" s="6" t="n">
        <v>397</v>
      </c>
      <c r="B398" s="7" t="s">
        <v>644</v>
      </c>
      <c r="C398" s="7" t="s">
        <v>739</v>
      </c>
      <c r="D398" s="8" t="s">
        <v>896</v>
      </c>
      <c r="E398" s="7" t="s">
        <v>897</v>
      </c>
      <c r="F398" s="6" t="s">
        <v>760</v>
      </c>
      <c r="G398" s="7" t="s">
        <v>27</v>
      </c>
      <c r="H398" s="7" t="s">
        <v>38</v>
      </c>
      <c r="I398" s="7" t="s">
        <v>163</v>
      </c>
      <c r="J398" s="6" t="s">
        <v>528</v>
      </c>
      <c r="K398" s="6" t="n">
        <v>7</v>
      </c>
      <c r="L398" s="7" t="s">
        <v>743</v>
      </c>
      <c r="M398" s="6" t="n">
        <v>78</v>
      </c>
      <c r="N398" s="7" t="s">
        <v>40</v>
      </c>
    </row>
    <row r="399" customFormat="false" ht="29.85" hidden="false" customHeight="false" outlineLevel="0" collapsed="false">
      <c r="A399" s="6" t="n">
        <v>398</v>
      </c>
      <c r="B399" s="7" t="s">
        <v>644</v>
      </c>
      <c r="C399" s="7" t="s">
        <v>739</v>
      </c>
      <c r="D399" s="8" t="s">
        <v>898</v>
      </c>
      <c r="E399" s="7" t="s">
        <v>899</v>
      </c>
      <c r="F399" s="6" t="s">
        <v>476</v>
      </c>
      <c r="G399" s="7" t="s">
        <v>43</v>
      </c>
      <c r="H399" s="7" t="s">
        <v>38</v>
      </c>
      <c r="I399" s="7" t="s">
        <v>163</v>
      </c>
      <c r="J399" s="6" t="s">
        <v>528</v>
      </c>
      <c r="K399" s="6" t="n">
        <v>7</v>
      </c>
      <c r="L399" s="7" t="s">
        <v>743</v>
      </c>
      <c r="M399" s="6" t="n">
        <v>79</v>
      </c>
      <c r="N399" s="7" t="s">
        <v>40</v>
      </c>
    </row>
    <row r="400" customFormat="false" ht="29.85" hidden="false" customHeight="false" outlineLevel="0" collapsed="false">
      <c r="A400" s="6" t="n">
        <v>399</v>
      </c>
      <c r="B400" s="7" t="s">
        <v>644</v>
      </c>
      <c r="C400" s="7" t="s">
        <v>739</v>
      </c>
      <c r="D400" s="8" t="s">
        <v>900</v>
      </c>
      <c r="E400" s="6" t="s">
        <v>901</v>
      </c>
      <c r="F400" s="6" t="s">
        <v>760</v>
      </c>
      <c r="G400" s="7" t="s">
        <v>27</v>
      </c>
      <c r="H400" s="7" t="s">
        <v>38</v>
      </c>
      <c r="I400" s="7" t="s">
        <v>318</v>
      </c>
      <c r="J400" s="6" t="s">
        <v>528</v>
      </c>
      <c r="K400" s="6" t="n">
        <v>7</v>
      </c>
      <c r="L400" s="7" t="s">
        <v>743</v>
      </c>
      <c r="M400" s="6" t="n">
        <v>80</v>
      </c>
      <c r="N400" s="7" t="s">
        <v>40</v>
      </c>
    </row>
    <row r="401" customFormat="false" ht="29.85" hidden="false" customHeight="false" outlineLevel="0" collapsed="false">
      <c r="A401" s="6" t="n">
        <v>400</v>
      </c>
      <c r="B401" s="7" t="s">
        <v>644</v>
      </c>
      <c r="C401" s="7" t="s">
        <v>739</v>
      </c>
      <c r="D401" s="8" t="s">
        <v>902</v>
      </c>
      <c r="E401" s="7" t="s">
        <v>903</v>
      </c>
      <c r="F401" s="6" t="s">
        <v>476</v>
      </c>
      <c r="G401" s="7" t="s">
        <v>43</v>
      </c>
      <c r="H401" s="7" t="s">
        <v>38</v>
      </c>
      <c r="I401" s="7" t="s">
        <v>904</v>
      </c>
      <c r="J401" s="6" t="s">
        <v>528</v>
      </c>
      <c r="K401" s="6" t="n">
        <v>7</v>
      </c>
      <c r="L401" s="7" t="s">
        <v>743</v>
      </c>
      <c r="M401" s="6" t="n">
        <v>81</v>
      </c>
      <c r="N401" s="7" t="s">
        <v>40</v>
      </c>
    </row>
    <row r="402" customFormat="false" ht="29.85" hidden="false" customHeight="false" outlineLevel="0" collapsed="false">
      <c r="A402" s="6" t="n">
        <v>401</v>
      </c>
      <c r="B402" s="7" t="s">
        <v>644</v>
      </c>
      <c r="C402" s="7" t="s">
        <v>739</v>
      </c>
      <c r="D402" s="8" t="s">
        <v>905</v>
      </c>
      <c r="E402" s="7" t="s">
        <v>906</v>
      </c>
      <c r="F402" s="6" t="s">
        <v>476</v>
      </c>
      <c r="G402" s="7" t="s">
        <v>43</v>
      </c>
      <c r="H402" s="7" t="s">
        <v>38</v>
      </c>
      <c r="I402" s="7" t="s">
        <v>640</v>
      </c>
      <c r="J402" s="6" t="s">
        <v>528</v>
      </c>
      <c r="K402" s="6" t="n">
        <v>7</v>
      </c>
      <c r="L402" s="7" t="s">
        <v>743</v>
      </c>
      <c r="M402" s="6" t="n">
        <v>82</v>
      </c>
      <c r="N402" s="7" t="s">
        <v>40</v>
      </c>
    </row>
    <row r="403" customFormat="false" ht="29.85" hidden="false" customHeight="false" outlineLevel="0" collapsed="false">
      <c r="A403" s="6" t="n">
        <v>402</v>
      </c>
      <c r="B403" s="7" t="s">
        <v>644</v>
      </c>
      <c r="C403" s="7" t="s">
        <v>739</v>
      </c>
      <c r="D403" s="8" t="s">
        <v>907</v>
      </c>
      <c r="E403" s="7" t="s">
        <v>894</v>
      </c>
      <c r="F403" s="6" t="s">
        <v>476</v>
      </c>
      <c r="G403" s="7" t="s">
        <v>43</v>
      </c>
      <c r="H403" s="7" t="s">
        <v>38</v>
      </c>
      <c r="I403" s="7" t="s">
        <v>470</v>
      </c>
      <c r="J403" s="6" t="s">
        <v>528</v>
      </c>
      <c r="K403" s="6" t="n">
        <v>7</v>
      </c>
      <c r="L403" s="7" t="s">
        <v>743</v>
      </c>
      <c r="M403" s="6" t="n">
        <v>83</v>
      </c>
      <c r="N403" s="7" t="s">
        <v>40</v>
      </c>
    </row>
    <row r="404" customFormat="false" ht="29.85" hidden="false" customHeight="false" outlineLevel="0" collapsed="false">
      <c r="A404" s="6" t="n">
        <v>403</v>
      </c>
      <c r="B404" s="7" t="s">
        <v>644</v>
      </c>
      <c r="C404" s="7" t="s">
        <v>739</v>
      </c>
      <c r="D404" s="8" t="s">
        <v>908</v>
      </c>
      <c r="E404" s="7" t="s">
        <v>909</v>
      </c>
      <c r="F404" s="6" t="s">
        <v>476</v>
      </c>
      <c r="G404" s="7" t="s">
        <v>43</v>
      </c>
      <c r="H404" s="7" t="s">
        <v>38</v>
      </c>
      <c r="I404" s="7" t="s">
        <v>910</v>
      </c>
      <c r="J404" s="6" t="s">
        <v>528</v>
      </c>
      <c r="K404" s="6" t="n">
        <v>7</v>
      </c>
      <c r="L404" s="7" t="s">
        <v>743</v>
      </c>
      <c r="M404" s="6" t="n">
        <v>84</v>
      </c>
      <c r="N404" s="7" t="s">
        <v>40</v>
      </c>
    </row>
    <row r="405" customFormat="false" ht="44" hidden="false" customHeight="false" outlineLevel="0" collapsed="false">
      <c r="A405" s="6" t="n">
        <v>404</v>
      </c>
      <c r="B405" s="7" t="s">
        <v>644</v>
      </c>
      <c r="C405" s="7" t="s">
        <v>739</v>
      </c>
      <c r="D405" s="8" t="s">
        <v>911</v>
      </c>
      <c r="E405" s="7" t="s">
        <v>912</v>
      </c>
      <c r="F405" s="6" t="s">
        <v>476</v>
      </c>
      <c r="G405" s="7" t="s">
        <v>43</v>
      </c>
      <c r="H405" s="7" t="s">
        <v>38</v>
      </c>
      <c r="I405" s="7" t="s">
        <v>913</v>
      </c>
      <c r="J405" s="6" t="s">
        <v>528</v>
      </c>
      <c r="K405" s="6" t="n">
        <v>7</v>
      </c>
      <c r="L405" s="7" t="s">
        <v>743</v>
      </c>
      <c r="M405" s="6" t="n">
        <v>85</v>
      </c>
      <c r="N405" s="7" t="s">
        <v>40</v>
      </c>
    </row>
    <row r="406" customFormat="false" ht="29.85" hidden="false" customHeight="false" outlineLevel="0" collapsed="false">
      <c r="A406" s="6" t="n">
        <v>405</v>
      </c>
      <c r="B406" s="7" t="s">
        <v>644</v>
      </c>
      <c r="C406" s="7" t="s">
        <v>739</v>
      </c>
      <c r="D406" s="8" t="s">
        <v>914</v>
      </c>
      <c r="E406" s="7" t="s">
        <v>915</v>
      </c>
      <c r="F406" s="6" t="s">
        <v>37</v>
      </c>
      <c r="G406" s="7" t="s">
        <v>27</v>
      </c>
      <c r="H406" s="10" t="s">
        <v>389</v>
      </c>
      <c r="I406" s="7" t="s">
        <v>916</v>
      </c>
      <c r="J406" s="6" t="s">
        <v>528</v>
      </c>
      <c r="K406" s="6" t="n">
        <v>7</v>
      </c>
      <c r="L406" s="7" t="s">
        <v>743</v>
      </c>
      <c r="M406" s="6" t="n">
        <v>86</v>
      </c>
      <c r="N406" s="7" t="s">
        <v>40</v>
      </c>
    </row>
    <row r="407" customFormat="false" ht="29.85" hidden="false" customHeight="false" outlineLevel="0" collapsed="false">
      <c r="A407" s="6" t="n">
        <v>406</v>
      </c>
      <c r="B407" s="7" t="s">
        <v>644</v>
      </c>
      <c r="C407" s="7" t="s">
        <v>739</v>
      </c>
      <c r="D407" s="9" t="s">
        <v>917</v>
      </c>
      <c r="E407" s="6" t="s">
        <v>918</v>
      </c>
      <c r="F407" s="6" t="s">
        <v>378</v>
      </c>
      <c r="G407" s="7" t="s">
        <v>27</v>
      </c>
      <c r="H407" s="10" t="s">
        <v>389</v>
      </c>
      <c r="I407" s="7" t="s">
        <v>916</v>
      </c>
      <c r="J407" s="6" t="s">
        <v>528</v>
      </c>
      <c r="K407" s="6" t="n">
        <v>7</v>
      </c>
      <c r="L407" s="7" t="s">
        <v>743</v>
      </c>
      <c r="M407" s="6" t="n">
        <v>87</v>
      </c>
      <c r="N407" s="7" t="s">
        <v>40</v>
      </c>
    </row>
    <row r="408" customFormat="false" ht="29.85" hidden="false" customHeight="false" outlineLevel="0" collapsed="false">
      <c r="A408" s="6" t="n">
        <v>407</v>
      </c>
      <c r="B408" s="7" t="s">
        <v>644</v>
      </c>
      <c r="C408" s="7" t="s">
        <v>739</v>
      </c>
      <c r="D408" s="8" t="s">
        <v>919</v>
      </c>
      <c r="E408" s="7" t="s">
        <v>920</v>
      </c>
      <c r="F408" s="6" t="s">
        <v>37</v>
      </c>
      <c r="G408" s="7" t="s">
        <v>27</v>
      </c>
      <c r="H408" s="10" t="s">
        <v>389</v>
      </c>
      <c r="I408" s="7" t="s">
        <v>921</v>
      </c>
      <c r="J408" s="6" t="s">
        <v>528</v>
      </c>
      <c r="K408" s="6" t="n">
        <v>7</v>
      </c>
      <c r="L408" s="7" t="s">
        <v>743</v>
      </c>
      <c r="M408" s="6" t="n">
        <v>88</v>
      </c>
      <c r="N408" s="7" t="s">
        <v>40</v>
      </c>
    </row>
    <row r="409" customFormat="false" ht="58.2" hidden="false" customHeight="false" outlineLevel="0" collapsed="false">
      <c r="A409" s="6" t="n">
        <v>408</v>
      </c>
      <c r="B409" s="7" t="s">
        <v>644</v>
      </c>
      <c r="C409" s="7" t="s">
        <v>739</v>
      </c>
      <c r="D409" s="8" t="s">
        <v>922</v>
      </c>
      <c r="E409" s="7" t="s">
        <v>923</v>
      </c>
      <c r="F409" s="6" t="s">
        <v>37</v>
      </c>
      <c r="G409" s="7" t="s">
        <v>27</v>
      </c>
      <c r="H409" s="10" t="s">
        <v>389</v>
      </c>
      <c r="I409" s="7" t="s">
        <v>924</v>
      </c>
      <c r="J409" s="6" t="s">
        <v>528</v>
      </c>
      <c r="K409" s="6" t="n">
        <v>7</v>
      </c>
      <c r="L409" s="7" t="s">
        <v>743</v>
      </c>
      <c r="M409" s="6" t="n">
        <v>89</v>
      </c>
      <c r="N409" s="7" t="s">
        <v>40</v>
      </c>
    </row>
    <row r="410" customFormat="false" ht="15" hidden="false" customHeight="false" outlineLevel="0" collapsed="false">
      <c r="A410" s="6" t="n">
        <v>409</v>
      </c>
      <c r="B410" s="7" t="s">
        <v>644</v>
      </c>
      <c r="C410" s="7" t="s">
        <v>925</v>
      </c>
      <c r="D410" s="8" t="s">
        <v>926</v>
      </c>
      <c r="E410" s="7" t="s">
        <v>927</v>
      </c>
      <c r="F410" s="6" t="s">
        <v>526</v>
      </c>
      <c r="G410" s="7" t="s">
        <v>43</v>
      </c>
      <c r="H410" s="7" t="s">
        <v>20</v>
      </c>
      <c r="I410" s="7" t="s">
        <v>595</v>
      </c>
      <c r="J410" s="6" t="s">
        <v>528</v>
      </c>
      <c r="K410" s="6" t="n">
        <v>8</v>
      </c>
      <c r="L410" s="7" t="s">
        <v>928</v>
      </c>
      <c r="M410" s="6" t="n">
        <v>1</v>
      </c>
      <c r="N410" s="7" t="s">
        <v>24</v>
      </c>
    </row>
    <row r="411" customFormat="false" ht="15" hidden="false" customHeight="false" outlineLevel="0" collapsed="false">
      <c r="A411" s="6" t="n">
        <v>410</v>
      </c>
      <c r="B411" s="7" t="s">
        <v>644</v>
      </c>
      <c r="C411" s="7" t="s">
        <v>925</v>
      </c>
      <c r="D411" s="8" t="s">
        <v>929</v>
      </c>
      <c r="E411" s="6" t="s">
        <v>930</v>
      </c>
      <c r="F411" s="6" t="s">
        <v>526</v>
      </c>
      <c r="G411" s="7" t="s">
        <v>43</v>
      </c>
      <c r="H411" s="7" t="s">
        <v>20</v>
      </c>
      <c r="I411" s="7" t="s">
        <v>32</v>
      </c>
      <c r="J411" s="6" t="s">
        <v>528</v>
      </c>
      <c r="K411" s="6" t="n">
        <v>8</v>
      </c>
      <c r="L411" s="7" t="s">
        <v>928</v>
      </c>
      <c r="M411" s="6" t="n">
        <v>2</v>
      </c>
      <c r="N411" s="7" t="s">
        <v>24</v>
      </c>
    </row>
    <row r="412" customFormat="false" ht="15" hidden="false" customHeight="false" outlineLevel="0" collapsed="false">
      <c r="A412" s="6" t="n">
        <v>411</v>
      </c>
      <c r="B412" s="7" t="s">
        <v>644</v>
      </c>
      <c r="C412" s="7" t="s">
        <v>925</v>
      </c>
      <c r="D412" s="8" t="s">
        <v>931</v>
      </c>
      <c r="E412" s="7" t="s">
        <v>932</v>
      </c>
      <c r="F412" s="6" t="s">
        <v>526</v>
      </c>
      <c r="G412" s="7" t="s">
        <v>43</v>
      </c>
      <c r="H412" s="7" t="s">
        <v>20</v>
      </c>
      <c r="I412" s="7" t="s">
        <v>32</v>
      </c>
      <c r="J412" s="6" t="s">
        <v>528</v>
      </c>
      <c r="K412" s="6" t="n">
        <v>8</v>
      </c>
      <c r="L412" s="7" t="s">
        <v>928</v>
      </c>
      <c r="M412" s="6" t="n">
        <v>3</v>
      </c>
      <c r="N412" s="7" t="s">
        <v>24</v>
      </c>
    </row>
    <row r="413" customFormat="false" ht="15" hidden="false" customHeight="false" outlineLevel="0" collapsed="false">
      <c r="A413" s="6" t="n">
        <v>412</v>
      </c>
      <c r="B413" s="7" t="s">
        <v>644</v>
      </c>
      <c r="C413" s="7" t="s">
        <v>925</v>
      </c>
      <c r="D413" s="8" t="s">
        <v>933</v>
      </c>
      <c r="E413" s="7" t="s">
        <v>934</v>
      </c>
      <c r="F413" s="6" t="s">
        <v>526</v>
      </c>
      <c r="G413" s="7" t="s">
        <v>43</v>
      </c>
      <c r="H413" s="7" t="s">
        <v>20</v>
      </c>
      <c r="I413" s="7" t="s">
        <v>935</v>
      </c>
      <c r="J413" s="6" t="s">
        <v>528</v>
      </c>
      <c r="K413" s="6" t="n">
        <v>8</v>
      </c>
      <c r="L413" s="7" t="s">
        <v>928</v>
      </c>
      <c r="M413" s="6" t="n">
        <v>4</v>
      </c>
      <c r="N413" s="7" t="s">
        <v>24</v>
      </c>
    </row>
    <row r="414" customFormat="false" ht="15" hidden="false" customHeight="false" outlineLevel="0" collapsed="false">
      <c r="A414" s="6" t="n">
        <v>413</v>
      </c>
      <c r="B414" s="7" t="s">
        <v>644</v>
      </c>
      <c r="C414" s="7" t="s">
        <v>925</v>
      </c>
      <c r="D414" s="8" t="s">
        <v>936</v>
      </c>
      <c r="E414" s="7" t="s">
        <v>937</v>
      </c>
      <c r="F414" s="6" t="s">
        <v>37</v>
      </c>
      <c r="G414" s="7" t="s">
        <v>27</v>
      </c>
      <c r="H414" s="7" t="s">
        <v>38</v>
      </c>
      <c r="I414" s="7" t="s">
        <v>938</v>
      </c>
      <c r="J414" s="6" t="s">
        <v>528</v>
      </c>
      <c r="K414" s="6" t="n">
        <v>8</v>
      </c>
      <c r="L414" s="7" t="s">
        <v>928</v>
      </c>
      <c r="M414" s="6" t="n">
        <v>5</v>
      </c>
      <c r="N414" s="7" t="s">
        <v>40</v>
      </c>
    </row>
    <row r="415" customFormat="false" ht="15" hidden="false" customHeight="false" outlineLevel="0" collapsed="false">
      <c r="A415" s="6" t="n">
        <v>414</v>
      </c>
      <c r="B415" s="7" t="s">
        <v>644</v>
      </c>
      <c r="C415" s="7" t="s">
        <v>925</v>
      </c>
      <c r="D415" s="8" t="s">
        <v>939</v>
      </c>
      <c r="E415" s="7" t="s">
        <v>940</v>
      </c>
      <c r="F415" s="6" t="s">
        <v>526</v>
      </c>
      <c r="G415" s="7" t="s">
        <v>43</v>
      </c>
      <c r="H415" s="7" t="s">
        <v>20</v>
      </c>
      <c r="I415" s="7" t="s">
        <v>34</v>
      </c>
      <c r="J415" s="6" t="s">
        <v>528</v>
      </c>
      <c r="K415" s="6" t="n">
        <v>8</v>
      </c>
      <c r="L415" s="7" t="s">
        <v>928</v>
      </c>
      <c r="M415" s="6" t="n">
        <v>6</v>
      </c>
      <c r="N415" s="7" t="s">
        <v>24</v>
      </c>
    </row>
    <row r="416" customFormat="false" ht="15" hidden="false" customHeight="false" outlineLevel="0" collapsed="false">
      <c r="A416" s="6" t="n">
        <v>415</v>
      </c>
      <c r="B416" s="7" t="s">
        <v>644</v>
      </c>
      <c r="C416" s="7" t="s">
        <v>925</v>
      </c>
      <c r="D416" s="8" t="s">
        <v>941</v>
      </c>
      <c r="E416" s="7" t="s">
        <v>942</v>
      </c>
      <c r="F416" s="6" t="s">
        <v>526</v>
      </c>
      <c r="G416" s="7" t="s">
        <v>43</v>
      </c>
      <c r="H416" s="7" t="s">
        <v>20</v>
      </c>
      <c r="I416" s="7" t="s">
        <v>183</v>
      </c>
      <c r="J416" s="6" t="s">
        <v>528</v>
      </c>
      <c r="K416" s="6" t="n">
        <v>8</v>
      </c>
      <c r="L416" s="7" t="s">
        <v>928</v>
      </c>
      <c r="M416" s="6" t="n">
        <v>7</v>
      </c>
      <c r="N416" s="7" t="s">
        <v>24</v>
      </c>
    </row>
    <row r="417" customFormat="false" ht="15" hidden="false" customHeight="false" outlineLevel="0" collapsed="false">
      <c r="A417" s="6" t="n">
        <v>416</v>
      </c>
      <c r="B417" s="7" t="s">
        <v>644</v>
      </c>
      <c r="C417" s="7" t="s">
        <v>925</v>
      </c>
      <c r="D417" s="8" t="s">
        <v>943</v>
      </c>
      <c r="E417" s="7" t="s">
        <v>944</v>
      </c>
      <c r="F417" s="6" t="s">
        <v>526</v>
      </c>
      <c r="G417" s="7" t="s">
        <v>43</v>
      </c>
      <c r="H417" s="7" t="s">
        <v>20</v>
      </c>
      <c r="I417" s="7" t="s">
        <v>46</v>
      </c>
      <c r="J417" s="6" t="s">
        <v>528</v>
      </c>
      <c r="K417" s="6" t="n">
        <v>8</v>
      </c>
      <c r="L417" s="7" t="s">
        <v>928</v>
      </c>
      <c r="M417" s="6" t="n">
        <v>8</v>
      </c>
      <c r="N417" s="7" t="s">
        <v>24</v>
      </c>
    </row>
    <row r="418" customFormat="false" ht="29.85" hidden="false" customHeight="false" outlineLevel="0" collapsed="false">
      <c r="A418" s="6" t="n">
        <v>417</v>
      </c>
      <c r="B418" s="7" t="s">
        <v>644</v>
      </c>
      <c r="C418" s="7" t="s">
        <v>925</v>
      </c>
      <c r="D418" s="8" t="s">
        <v>945</v>
      </c>
      <c r="E418" s="7" t="s">
        <v>946</v>
      </c>
      <c r="F418" s="6" t="s">
        <v>760</v>
      </c>
      <c r="G418" s="7" t="s">
        <v>27</v>
      </c>
      <c r="H418" s="7" t="s">
        <v>20</v>
      </c>
      <c r="I418" s="7" t="s">
        <v>243</v>
      </c>
      <c r="J418" s="6" t="s">
        <v>528</v>
      </c>
      <c r="K418" s="6" t="n">
        <v>8</v>
      </c>
      <c r="L418" s="7" t="s">
        <v>928</v>
      </c>
      <c r="M418" s="6" t="n">
        <v>9</v>
      </c>
      <c r="N418" s="7" t="s">
        <v>24</v>
      </c>
    </row>
    <row r="419" customFormat="false" ht="15" hidden="false" customHeight="false" outlineLevel="0" collapsed="false">
      <c r="A419" s="6" t="n">
        <v>418</v>
      </c>
      <c r="B419" s="7" t="s">
        <v>644</v>
      </c>
      <c r="C419" s="7" t="s">
        <v>925</v>
      </c>
      <c r="D419" s="8" t="s">
        <v>947</v>
      </c>
      <c r="E419" s="8" t="s">
        <v>948</v>
      </c>
      <c r="F419" s="6" t="s">
        <v>37</v>
      </c>
      <c r="G419" s="7" t="s">
        <v>27</v>
      </c>
      <c r="H419" s="7" t="s">
        <v>38</v>
      </c>
      <c r="I419" s="7" t="s">
        <v>949</v>
      </c>
      <c r="J419" s="6" t="s">
        <v>528</v>
      </c>
      <c r="K419" s="6" t="n">
        <v>8</v>
      </c>
      <c r="L419" s="7" t="s">
        <v>928</v>
      </c>
      <c r="M419" s="6" t="n">
        <v>10</v>
      </c>
      <c r="N419" s="7" t="s">
        <v>40</v>
      </c>
    </row>
    <row r="420" customFormat="false" ht="29.85" hidden="false" customHeight="false" outlineLevel="0" collapsed="false">
      <c r="A420" s="6" t="n">
        <v>419</v>
      </c>
      <c r="B420" s="7" t="s">
        <v>644</v>
      </c>
      <c r="C420" s="7" t="s">
        <v>925</v>
      </c>
      <c r="D420" s="8" t="s">
        <v>950</v>
      </c>
      <c r="E420" s="7" t="s">
        <v>946</v>
      </c>
      <c r="F420" s="6" t="s">
        <v>760</v>
      </c>
      <c r="G420" s="7" t="s">
        <v>27</v>
      </c>
      <c r="H420" s="7" t="s">
        <v>20</v>
      </c>
      <c r="I420" s="7" t="s">
        <v>49</v>
      </c>
      <c r="J420" s="6" t="s">
        <v>528</v>
      </c>
      <c r="K420" s="6" t="n">
        <v>8</v>
      </c>
      <c r="L420" s="7" t="s">
        <v>928</v>
      </c>
      <c r="M420" s="6" t="n">
        <v>11</v>
      </c>
      <c r="N420" s="7" t="s">
        <v>24</v>
      </c>
    </row>
    <row r="421" customFormat="false" ht="29.85" hidden="false" customHeight="false" outlineLevel="0" collapsed="false">
      <c r="A421" s="6" t="n">
        <v>420</v>
      </c>
      <c r="B421" s="7" t="s">
        <v>644</v>
      </c>
      <c r="C421" s="7" t="s">
        <v>925</v>
      </c>
      <c r="D421" s="8" t="s">
        <v>951</v>
      </c>
      <c r="E421" s="7" t="s">
        <v>942</v>
      </c>
      <c r="F421" s="6" t="s">
        <v>526</v>
      </c>
      <c r="G421" s="7" t="s">
        <v>43</v>
      </c>
      <c r="H421" s="7" t="s">
        <v>20</v>
      </c>
      <c r="I421" s="7" t="s">
        <v>85</v>
      </c>
      <c r="J421" s="6" t="s">
        <v>528</v>
      </c>
      <c r="K421" s="6" t="n">
        <v>8</v>
      </c>
      <c r="L421" s="7" t="s">
        <v>928</v>
      </c>
      <c r="M421" s="6" t="n">
        <v>12</v>
      </c>
      <c r="N421" s="7" t="s">
        <v>24</v>
      </c>
    </row>
    <row r="422" customFormat="false" ht="29.85" hidden="false" customHeight="false" outlineLevel="0" collapsed="false">
      <c r="A422" s="6" t="n">
        <v>421</v>
      </c>
      <c r="B422" s="7" t="s">
        <v>644</v>
      </c>
      <c r="C422" s="7" t="s">
        <v>925</v>
      </c>
      <c r="D422" s="8" t="s">
        <v>952</v>
      </c>
      <c r="E422" s="7" t="s">
        <v>944</v>
      </c>
      <c r="F422" s="6" t="s">
        <v>526</v>
      </c>
      <c r="G422" s="7" t="s">
        <v>43</v>
      </c>
      <c r="H422" s="7" t="s">
        <v>20</v>
      </c>
      <c r="I422" s="7" t="s">
        <v>91</v>
      </c>
      <c r="J422" s="6" t="s">
        <v>528</v>
      </c>
      <c r="K422" s="6" t="n">
        <v>8</v>
      </c>
      <c r="L422" s="7" t="s">
        <v>928</v>
      </c>
      <c r="M422" s="6" t="n">
        <v>13</v>
      </c>
      <c r="N422" s="7" t="s">
        <v>24</v>
      </c>
    </row>
    <row r="423" customFormat="false" ht="29.85" hidden="false" customHeight="false" outlineLevel="0" collapsed="false">
      <c r="A423" s="6" t="n">
        <v>422</v>
      </c>
      <c r="B423" s="7" t="s">
        <v>644</v>
      </c>
      <c r="C423" s="7" t="s">
        <v>925</v>
      </c>
      <c r="D423" s="8" t="s">
        <v>953</v>
      </c>
      <c r="E423" s="7" t="s">
        <v>954</v>
      </c>
      <c r="F423" s="6" t="s">
        <v>526</v>
      </c>
      <c r="G423" s="7" t="s">
        <v>43</v>
      </c>
      <c r="H423" s="7" t="s">
        <v>20</v>
      </c>
      <c r="I423" s="7" t="s">
        <v>158</v>
      </c>
      <c r="J423" s="6" t="s">
        <v>528</v>
      </c>
      <c r="K423" s="6" t="n">
        <v>8</v>
      </c>
      <c r="L423" s="7" t="s">
        <v>928</v>
      </c>
      <c r="M423" s="6" t="n">
        <v>14</v>
      </c>
      <c r="N423" s="7" t="s">
        <v>24</v>
      </c>
    </row>
    <row r="424" customFormat="false" ht="15" hidden="false" customHeight="false" outlineLevel="0" collapsed="false">
      <c r="A424" s="6" t="n">
        <v>423</v>
      </c>
      <c r="B424" s="7" t="s">
        <v>644</v>
      </c>
      <c r="C424" s="7" t="s">
        <v>925</v>
      </c>
      <c r="D424" s="8" t="s">
        <v>955</v>
      </c>
      <c r="E424" s="7" t="s">
        <v>956</v>
      </c>
      <c r="F424" s="6" t="s">
        <v>37</v>
      </c>
      <c r="G424" s="7" t="s">
        <v>27</v>
      </c>
      <c r="H424" s="7" t="s">
        <v>38</v>
      </c>
      <c r="I424" s="7" t="s">
        <v>957</v>
      </c>
      <c r="J424" s="6" t="s">
        <v>528</v>
      </c>
      <c r="K424" s="6" t="n">
        <v>8</v>
      </c>
      <c r="L424" s="7" t="s">
        <v>928</v>
      </c>
      <c r="M424" s="6" t="n">
        <v>15</v>
      </c>
      <c r="N424" s="7" t="s">
        <v>40</v>
      </c>
    </row>
    <row r="425" customFormat="false" ht="29.85" hidden="false" customHeight="false" outlineLevel="0" collapsed="false">
      <c r="A425" s="6" t="n">
        <v>424</v>
      </c>
      <c r="B425" s="7" t="s">
        <v>644</v>
      </c>
      <c r="C425" s="7" t="s">
        <v>925</v>
      </c>
      <c r="D425" s="8" t="s">
        <v>958</v>
      </c>
      <c r="E425" s="7" t="s">
        <v>959</v>
      </c>
      <c r="F425" s="6" t="s">
        <v>526</v>
      </c>
      <c r="G425" s="7" t="s">
        <v>43</v>
      </c>
      <c r="H425" s="7" t="s">
        <v>20</v>
      </c>
      <c r="I425" s="7" t="s">
        <v>295</v>
      </c>
      <c r="J425" s="6" t="s">
        <v>528</v>
      </c>
      <c r="K425" s="6" t="n">
        <v>8</v>
      </c>
      <c r="L425" s="7" t="s">
        <v>928</v>
      </c>
      <c r="M425" s="6" t="n">
        <v>16</v>
      </c>
      <c r="N425" s="7" t="s">
        <v>24</v>
      </c>
    </row>
    <row r="426" customFormat="false" ht="29.85" hidden="false" customHeight="false" outlineLevel="0" collapsed="false">
      <c r="A426" s="6" t="n">
        <v>425</v>
      </c>
      <c r="B426" s="7" t="s">
        <v>644</v>
      </c>
      <c r="C426" s="7" t="s">
        <v>925</v>
      </c>
      <c r="D426" s="8" t="s">
        <v>960</v>
      </c>
      <c r="E426" s="7" t="s">
        <v>959</v>
      </c>
      <c r="F426" s="6" t="s">
        <v>526</v>
      </c>
      <c r="G426" s="7" t="s">
        <v>43</v>
      </c>
      <c r="H426" s="7" t="s">
        <v>20</v>
      </c>
      <c r="I426" s="7" t="s">
        <v>203</v>
      </c>
      <c r="J426" s="6" t="s">
        <v>528</v>
      </c>
      <c r="K426" s="6" t="n">
        <v>8</v>
      </c>
      <c r="L426" s="7" t="s">
        <v>928</v>
      </c>
      <c r="M426" s="6" t="n">
        <v>17</v>
      </c>
      <c r="N426" s="7" t="s">
        <v>24</v>
      </c>
    </row>
    <row r="427" customFormat="false" ht="15" hidden="false" customHeight="false" outlineLevel="0" collapsed="false">
      <c r="A427" s="6" t="n">
        <v>426</v>
      </c>
      <c r="B427" s="7" t="s">
        <v>644</v>
      </c>
      <c r="C427" s="7" t="s">
        <v>925</v>
      </c>
      <c r="D427" s="8" t="s">
        <v>961</v>
      </c>
      <c r="E427" s="7" t="s">
        <v>962</v>
      </c>
      <c r="F427" s="6" t="s">
        <v>37</v>
      </c>
      <c r="G427" s="7" t="s">
        <v>27</v>
      </c>
      <c r="H427" s="7" t="s">
        <v>38</v>
      </c>
      <c r="I427" s="7" t="s">
        <v>963</v>
      </c>
      <c r="J427" s="6" t="s">
        <v>528</v>
      </c>
      <c r="K427" s="6" t="n">
        <v>8</v>
      </c>
      <c r="L427" s="7" t="s">
        <v>928</v>
      </c>
      <c r="M427" s="6" t="n">
        <v>18</v>
      </c>
      <c r="N427" s="7" t="s">
        <v>40</v>
      </c>
    </row>
    <row r="428" customFormat="false" ht="15" hidden="false" customHeight="false" outlineLevel="0" collapsed="false">
      <c r="A428" s="6" t="n">
        <v>427</v>
      </c>
      <c r="B428" s="7" t="s">
        <v>644</v>
      </c>
      <c r="C428" s="7" t="s">
        <v>925</v>
      </c>
      <c r="D428" s="8" t="s">
        <v>964</v>
      </c>
      <c r="E428" s="7" t="s">
        <v>965</v>
      </c>
      <c r="F428" s="6" t="s">
        <v>526</v>
      </c>
      <c r="G428" s="7" t="s">
        <v>43</v>
      </c>
      <c r="H428" s="7" t="s">
        <v>38</v>
      </c>
      <c r="I428" s="7" t="s">
        <v>966</v>
      </c>
      <c r="J428" s="6" t="s">
        <v>528</v>
      </c>
      <c r="K428" s="6" t="n">
        <v>8</v>
      </c>
      <c r="L428" s="7" t="s">
        <v>928</v>
      </c>
      <c r="M428" s="6" t="n">
        <v>19</v>
      </c>
      <c r="N428" s="7" t="s">
        <v>40</v>
      </c>
    </row>
    <row r="429" customFormat="false" ht="15" hidden="false" customHeight="false" outlineLevel="0" collapsed="false">
      <c r="A429" s="6" t="n">
        <v>428</v>
      </c>
      <c r="B429" s="7" t="s">
        <v>644</v>
      </c>
      <c r="C429" s="7" t="s">
        <v>925</v>
      </c>
      <c r="D429" s="8" t="s">
        <v>967</v>
      </c>
      <c r="E429" s="7" t="s">
        <v>968</v>
      </c>
      <c r="F429" s="6" t="s">
        <v>82</v>
      </c>
      <c r="G429" s="7" t="s">
        <v>27</v>
      </c>
      <c r="H429" s="7" t="s">
        <v>38</v>
      </c>
      <c r="I429" s="7" t="s">
        <v>623</v>
      </c>
      <c r="J429" s="6" t="s">
        <v>528</v>
      </c>
      <c r="K429" s="6" t="n">
        <v>8</v>
      </c>
      <c r="L429" s="7" t="s">
        <v>928</v>
      </c>
      <c r="M429" s="6" t="n">
        <v>20</v>
      </c>
      <c r="N429" s="7" t="s">
        <v>40</v>
      </c>
    </row>
    <row r="430" customFormat="false" ht="29.85" hidden="false" customHeight="false" outlineLevel="0" collapsed="false">
      <c r="A430" s="6" t="n">
        <v>429</v>
      </c>
      <c r="B430" s="7" t="s">
        <v>644</v>
      </c>
      <c r="C430" s="7" t="s">
        <v>925</v>
      </c>
      <c r="D430" s="8" t="s">
        <v>969</v>
      </c>
      <c r="E430" s="7" t="s">
        <v>970</v>
      </c>
      <c r="F430" s="6" t="s">
        <v>82</v>
      </c>
      <c r="G430" s="7" t="s">
        <v>27</v>
      </c>
      <c r="H430" s="7" t="s">
        <v>38</v>
      </c>
      <c r="I430" s="7" t="s">
        <v>280</v>
      </c>
      <c r="J430" s="6" t="s">
        <v>528</v>
      </c>
      <c r="K430" s="6" t="n">
        <v>8</v>
      </c>
      <c r="L430" s="7" t="s">
        <v>928</v>
      </c>
      <c r="M430" s="6" t="n">
        <v>21</v>
      </c>
      <c r="N430" s="7" t="s">
        <v>40</v>
      </c>
    </row>
    <row r="431" customFormat="false" ht="29.85" hidden="false" customHeight="false" outlineLevel="0" collapsed="false">
      <c r="A431" s="6" t="n">
        <v>430</v>
      </c>
      <c r="B431" s="7" t="s">
        <v>644</v>
      </c>
      <c r="C431" s="7" t="s">
        <v>925</v>
      </c>
      <c r="D431" s="8" t="s">
        <v>971</v>
      </c>
      <c r="E431" s="7" t="s">
        <v>972</v>
      </c>
      <c r="F431" s="6" t="s">
        <v>526</v>
      </c>
      <c r="G431" s="7" t="s">
        <v>43</v>
      </c>
      <c r="H431" s="7" t="s">
        <v>38</v>
      </c>
      <c r="I431" s="7" t="s">
        <v>973</v>
      </c>
      <c r="J431" s="6" t="s">
        <v>528</v>
      </c>
      <c r="K431" s="6" t="n">
        <v>8</v>
      </c>
      <c r="L431" s="7" t="s">
        <v>928</v>
      </c>
      <c r="M431" s="6" t="n">
        <v>22</v>
      </c>
      <c r="N431" s="7" t="s">
        <v>40</v>
      </c>
    </row>
    <row r="432" customFormat="false" ht="29.85" hidden="false" customHeight="false" outlineLevel="0" collapsed="false">
      <c r="A432" s="6" t="n">
        <v>431</v>
      </c>
      <c r="B432" s="7" t="s">
        <v>644</v>
      </c>
      <c r="C432" s="7" t="s">
        <v>925</v>
      </c>
      <c r="D432" s="8" t="s">
        <v>974</v>
      </c>
      <c r="E432" s="7" t="s">
        <v>975</v>
      </c>
      <c r="F432" s="6" t="s">
        <v>526</v>
      </c>
      <c r="G432" s="7" t="s">
        <v>43</v>
      </c>
      <c r="H432" s="7" t="s">
        <v>38</v>
      </c>
      <c r="I432" s="7" t="s">
        <v>303</v>
      </c>
      <c r="J432" s="6" t="s">
        <v>528</v>
      </c>
      <c r="K432" s="6" t="n">
        <v>8</v>
      </c>
      <c r="L432" s="7" t="s">
        <v>928</v>
      </c>
      <c r="M432" s="6" t="n">
        <v>23</v>
      </c>
      <c r="N432" s="7" t="s">
        <v>40</v>
      </c>
    </row>
    <row r="433" customFormat="false" ht="29.85" hidden="false" customHeight="false" outlineLevel="0" collapsed="false">
      <c r="A433" s="6" t="n">
        <v>432</v>
      </c>
      <c r="B433" s="7" t="s">
        <v>644</v>
      </c>
      <c r="C433" s="7" t="s">
        <v>925</v>
      </c>
      <c r="D433" s="8" t="s">
        <v>976</v>
      </c>
      <c r="E433" s="7" t="s">
        <v>977</v>
      </c>
      <c r="F433" s="6" t="s">
        <v>526</v>
      </c>
      <c r="G433" s="7" t="s">
        <v>43</v>
      </c>
      <c r="H433" s="7" t="s">
        <v>38</v>
      </c>
      <c r="I433" s="7" t="s">
        <v>637</v>
      </c>
      <c r="J433" s="6" t="s">
        <v>528</v>
      </c>
      <c r="K433" s="6" t="n">
        <v>8</v>
      </c>
      <c r="L433" s="7" t="s">
        <v>928</v>
      </c>
      <c r="M433" s="6" t="n">
        <v>24</v>
      </c>
      <c r="N433" s="7" t="s">
        <v>40</v>
      </c>
    </row>
    <row r="434" customFormat="false" ht="29.85" hidden="false" customHeight="false" outlineLevel="0" collapsed="false">
      <c r="A434" s="6" t="n">
        <v>433</v>
      </c>
      <c r="B434" s="7" t="s">
        <v>644</v>
      </c>
      <c r="C434" s="7" t="s">
        <v>925</v>
      </c>
      <c r="D434" s="8" t="s">
        <v>978</v>
      </c>
      <c r="E434" s="7" t="s">
        <v>979</v>
      </c>
      <c r="F434" s="6" t="s">
        <v>526</v>
      </c>
      <c r="G434" s="7" t="s">
        <v>43</v>
      </c>
      <c r="H434" s="7" t="s">
        <v>38</v>
      </c>
      <c r="I434" s="7" t="s">
        <v>309</v>
      </c>
      <c r="J434" s="6" t="s">
        <v>528</v>
      </c>
      <c r="K434" s="6" t="n">
        <v>8</v>
      </c>
      <c r="L434" s="7" t="s">
        <v>928</v>
      </c>
      <c r="M434" s="6" t="n">
        <v>25</v>
      </c>
      <c r="N434" s="7" t="s">
        <v>40</v>
      </c>
    </row>
    <row r="435" customFormat="false" ht="29.85" hidden="false" customHeight="false" outlineLevel="0" collapsed="false">
      <c r="A435" s="6" t="n">
        <v>434</v>
      </c>
      <c r="B435" s="7" t="s">
        <v>644</v>
      </c>
      <c r="C435" s="7" t="s">
        <v>925</v>
      </c>
      <c r="D435" s="8" t="s">
        <v>980</v>
      </c>
      <c r="E435" s="7" t="s">
        <v>944</v>
      </c>
      <c r="F435" s="6" t="s">
        <v>526</v>
      </c>
      <c r="G435" s="7" t="s">
        <v>43</v>
      </c>
      <c r="H435" s="7" t="s">
        <v>38</v>
      </c>
      <c r="I435" s="7" t="s">
        <v>640</v>
      </c>
      <c r="J435" s="6" t="s">
        <v>528</v>
      </c>
      <c r="K435" s="6" t="n">
        <v>8</v>
      </c>
      <c r="L435" s="7" t="s">
        <v>928</v>
      </c>
      <c r="M435" s="6" t="n">
        <v>26</v>
      </c>
      <c r="N435" s="7" t="s">
        <v>40</v>
      </c>
    </row>
    <row r="436" customFormat="false" ht="44" hidden="false" customHeight="false" outlineLevel="0" collapsed="false">
      <c r="A436" s="6" t="n">
        <v>435</v>
      </c>
      <c r="B436" s="7" t="s">
        <v>644</v>
      </c>
      <c r="C436" s="7" t="s">
        <v>925</v>
      </c>
      <c r="D436" s="8" t="s">
        <v>981</v>
      </c>
      <c r="E436" s="7" t="s">
        <v>982</v>
      </c>
      <c r="F436" s="6" t="s">
        <v>526</v>
      </c>
      <c r="G436" s="7" t="s">
        <v>43</v>
      </c>
      <c r="H436" s="7" t="s">
        <v>38</v>
      </c>
      <c r="I436" s="7" t="s">
        <v>983</v>
      </c>
      <c r="J436" s="6" t="s">
        <v>528</v>
      </c>
      <c r="K436" s="6" t="n">
        <v>8</v>
      </c>
      <c r="L436" s="7" t="s">
        <v>928</v>
      </c>
      <c r="M436" s="6" t="n">
        <v>27</v>
      </c>
      <c r="N436" s="7" t="s">
        <v>40</v>
      </c>
    </row>
    <row r="437" customFormat="false" ht="44" hidden="false" customHeight="false" outlineLevel="0" collapsed="false">
      <c r="A437" s="6" t="n">
        <v>436</v>
      </c>
      <c r="B437" s="7" t="s">
        <v>644</v>
      </c>
      <c r="C437" s="7" t="s">
        <v>925</v>
      </c>
      <c r="D437" s="8" t="s">
        <v>984</v>
      </c>
      <c r="E437" s="7" t="s">
        <v>985</v>
      </c>
      <c r="F437" s="6" t="s">
        <v>526</v>
      </c>
      <c r="G437" s="7" t="s">
        <v>43</v>
      </c>
      <c r="H437" s="7" t="s">
        <v>38</v>
      </c>
      <c r="I437" s="7" t="s">
        <v>643</v>
      </c>
      <c r="J437" s="6" t="s">
        <v>528</v>
      </c>
      <c r="K437" s="6" t="n">
        <v>8</v>
      </c>
      <c r="L437" s="7" t="s">
        <v>928</v>
      </c>
      <c r="M437" s="6" t="n">
        <v>28</v>
      </c>
      <c r="N437" s="7" t="s">
        <v>40</v>
      </c>
    </row>
    <row r="438" customFormat="false" ht="15" hidden="false" customHeight="false" outlineLevel="0" collapsed="false">
      <c r="A438" s="6" t="n">
        <v>437</v>
      </c>
      <c r="B438" s="7" t="s">
        <v>644</v>
      </c>
      <c r="C438" s="7" t="s">
        <v>986</v>
      </c>
      <c r="D438" s="8" t="s">
        <v>987</v>
      </c>
      <c r="E438" s="7" t="s">
        <v>988</v>
      </c>
      <c r="F438" s="6" t="s">
        <v>526</v>
      </c>
      <c r="G438" s="7" t="s">
        <v>43</v>
      </c>
      <c r="H438" s="7" t="s">
        <v>20</v>
      </c>
      <c r="I438" s="7" t="s">
        <v>44</v>
      </c>
      <c r="J438" s="6" t="s">
        <v>528</v>
      </c>
      <c r="K438" s="6" t="n">
        <v>9</v>
      </c>
      <c r="L438" s="7" t="s">
        <v>989</v>
      </c>
      <c r="M438" s="6" t="n">
        <v>1</v>
      </c>
      <c r="N438" s="7" t="s">
        <v>24</v>
      </c>
    </row>
    <row r="439" customFormat="false" ht="15" hidden="false" customHeight="false" outlineLevel="0" collapsed="false">
      <c r="A439" s="6" t="n">
        <v>438</v>
      </c>
      <c r="B439" s="7" t="s">
        <v>644</v>
      </c>
      <c r="C439" s="7" t="s">
        <v>986</v>
      </c>
      <c r="D439" s="8" t="s">
        <v>990</v>
      </c>
      <c r="E439" s="7" t="s">
        <v>991</v>
      </c>
      <c r="F439" s="6" t="s">
        <v>526</v>
      </c>
      <c r="G439" s="7" t="s">
        <v>43</v>
      </c>
      <c r="H439" s="7" t="s">
        <v>20</v>
      </c>
      <c r="I439" s="7" t="s">
        <v>46</v>
      </c>
      <c r="J439" s="6" t="s">
        <v>528</v>
      </c>
      <c r="K439" s="6" t="n">
        <v>9</v>
      </c>
      <c r="L439" s="7" t="s">
        <v>989</v>
      </c>
      <c r="M439" s="6" t="n">
        <v>2</v>
      </c>
      <c r="N439" s="7" t="s">
        <v>24</v>
      </c>
    </row>
    <row r="440" customFormat="false" ht="15" hidden="false" customHeight="false" outlineLevel="0" collapsed="false">
      <c r="A440" s="6" t="n">
        <v>439</v>
      </c>
      <c r="B440" s="7" t="s">
        <v>644</v>
      </c>
      <c r="C440" s="7" t="s">
        <v>986</v>
      </c>
      <c r="D440" s="8" t="s">
        <v>992</v>
      </c>
      <c r="E440" s="7" t="s">
        <v>993</v>
      </c>
      <c r="F440" s="6" t="s">
        <v>526</v>
      </c>
      <c r="G440" s="7" t="s">
        <v>43</v>
      </c>
      <c r="H440" s="7" t="s">
        <v>20</v>
      </c>
      <c r="I440" s="7" t="s">
        <v>46</v>
      </c>
      <c r="J440" s="6" t="s">
        <v>528</v>
      </c>
      <c r="K440" s="6" t="n">
        <v>9</v>
      </c>
      <c r="L440" s="7" t="s">
        <v>989</v>
      </c>
      <c r="M440" s="6" t="n">
        <v>3</v>
      </c>
      <c r="N440" s="7" t="s">
        <v>24</v>
      </c>
    </row>
    <row r="441" customFormat="false" ht="15" hidden="false" customHeight="false" outlineLevel="0" collapsed="false">
      <c r="A441" s="6" t="n">
        <v>440</v>
      </c>
      <c r="B441" s="7" t="s">
        <v>644</v>
      </c>
      <c r="C441" s="7" t="s">
        <v>986</v>
      </c>
      <c r="D441" s="8" t="s">
        <v>994</v>
      </c>
      <c r="E441" s="7" t="s">
        <v>991</v>
      </c>
      <c r="F441" s="6" t="s">
        <v>526</v>
      </c>
      <c r="G441" s="7" t="s">
        <v>43</v>
      </c>
      <c r="H441" s="7" t="s">
        <v>20</v>
      </c>
      <c r="I441" s="7" t="s">
        <v>189</v>
      </c>
      <c r="J441" s="6" t="s">
        <v>528</v>
      </c>
      <c r="K441" s="6" t="n">
        <v>9</v>
      </c>
      <c r="L441" s="7" t="s">
        <v>989</v>
      </c>
      <c r="M441" s="6" t="n">
        <v>4</v>
      </c>
      <c r="N441" s="7" t="s">
        <v>24</v>
      </c>
    </row>
    <row r="442" customFormat="false" ht="29.85" hidden="false" customHeight="false" outlineLevel="0" collapsed="false">
      <c r="A442" s="6" t="n">
        <v>441</v>
      </c>
      <c r="B442" s="7" t="s">
        <v>644</v>
      </c>
      <c r="C442" s="7" t="s">
        <v>986</v>
      </c>
      <c r="D442" s="8" t="s">
        <v>995</v>
      </c>
      <c r="E442" s="7" t="s">
        <v>996</v>
      </c>
      <c r="F442" s="6" t="s">
        <v>526</v>
      </c>
      <c r="G442" s="7" t="s">
        <v>43</v>
      </c>
      <c r="H442" s="7" t="s">
        <v>38</v>
      </c>
      <c r="I442" s="7" t="s">
        <v>720</v>
      </c>
      <c r="J442" s="6" t="s">
        <v>528</v>
      </c>
      <c r="K442" s="6" t="n">
        <v>9</v>
      </c>
      <c r="L442" s="7" t="s">
        <v>989</v>
      </c>
      <c r="M442" s="6" t="n">
        <v>5</v>
      </c>
      <c r="N442" s="7" t="s">
        <v>40</v>
      </c>
    </row>
    <row r="443" customFormat="false" ht="29.85" hidden="false" customHeight="false" outlineLevel="0" collapsed="false">
      <c r="A443" s="6" t="n">
        <v>442</v>
      </c>
      <c r="B443" s="7" t="s">
        <v>644</v>
      </c>
      <c r="C443" s="7" t="s">
        <v>986</v>
      </c>
      <c r="D443" s="8" t="s">
        <v>997</v>
      </c>
      <c r="E443" s="7" t="s">
        <v>991</v>
      </c>
      <c r="F443" s="6" t="s">
        <v>526</v>
      </c>
      <c r="G443" s="7" t="s">
        <v>43</v>
      </c>
      <c r="H443" s="7" t="s">
        <v>20</v>
      </c>
      <c r="I443" s="7" t="s">
        <v>192</v>
      </c>
      <c r="J443" s="6" t="s">
        <v>528</v>
      </c>
      <c r="K443" s="6" t="n">
        <v>9</v>
      </c>
      <c r="L443" s="7" t="s">
        <v>989</v>
      </c>
      <c r="M443" s="6" t="n">
        <v>6</v>
      </c>
      <c r="N443" s="7" t="s">
        <v>24</v>
      </c>
    </row>
    <row r="444" customFormat="false" ht="29.85" hidden="false" customHeight="false" outlineLevel="0" collapsed="false">
      <c r="A444" s="6" t="n">
        <v>443</v>
      </c>
      <c r="B444" s="7" t="s">
        <v>644</v>
      </c>
      <c r="C444" s="7" t="s">
        <v>986</v>
      </c>
      <c r="D444" s="8" t="s">
        <v>998</v>
      </c>
      <c r="E444" s="7" t="s">
        <v>988</v>
      </c>
      <c r="F444" s="6" t="s">
        <v>526</v>
      </c>
      <c r="G444" s="7" t="s">
        <v>43</v>
      </c>
      <c r="H444" s="7" t="s">
        <v>20</v>
      </c>
      <c r="I444" s="7" t="s">
        <v>76</v>
      </c>
      <c r="J444" s="6" t="s">
        <v>528</v>
      </c>
      <c r="K444" s="6" t="n">
        <v>9</v>
      </c>
      <c r="L444" s="7" t="s">
        <v>989</v>
      </c>
      <c r="M444" s="6" t="n">
        <v>7</v>
      </c>
      <c r="N444" s="7" t="s">
        <v>24</v>
      </c>
    </row>
    <row r="445" customFormat="false" ht="29.85" hidden="false" customHeight="false" outlineLevel="0" collapsed="false">
      <c r="A445" s="6" t="n">
        <v>444</v>
      </c>
      <c r="B445" s="7" t="s">
        <v>644</v>
      </c>
      <c r="C445" s="7" t="s">
        <v>986</v>
      </c>
      <c r="D445" s="8" t="s">
        <v>999</v>
      </c>
      <c r="E445" s="7" t="s">
        <v>1000</v>
      </c>
      <c r="F445" s="6" t="s">
        <v>526</v>
      </c>
      <c r="G445" s="7" t="s">
        <v>43</v>
      </c>
      <c r="H445" s="7" t="s">
        <v>20</v>
      </c>
      <c r="I445" s="7" t="s">
        <v>150</v>
      </c>
      <c r="J445" s="6" t="s">
        <v>528</v>
      </c>
      <c r="K445" s="6" t="n">
        <v>9</v>
      </c>
      <c r="L445" s="7" t="s">
        <v>989</v>
      </c>
      <c r="M445" s="6" t="n">
        <v>8</v>
      </c>
      <c r="N445" s="7" t="s">
        <v>24</v>
      </c>
    </row>
    <row r="446" customFormat="false" ht="29.85" hidden="false" customHeight="false" outlineLevel="0" collapsed="false">
      <c r="A446" s="6" t="n">
        <v>445</v>
      </c>
      <c r="B446" s="7" t="s">
        <v>644</v>
      </c>
      <c r="C446" s="7" t="s">
        <v>986</v>
      </c>
      <c r="D446" s="8" t="s">
        <v>1001</v>
      </c>
      <c r="E446" s="7" t="s">
        <v>1002</v>
      </c>
      <c r="F446" s="6" t="s">
        <v>526</v>
      </c>
      <c r="G446" s="7" t="s">
        <v>43</v>
      </c>
      <c r="H446" s="7" t="s">
        <v>20</v>
      </c>
      <c r="I446" s="7" t="s">
        <v>289</v>
      </c>
      <c r="J446" s="6" t="s">
        <v>528</v>
      </c>
      <c r="K446" s="6" t="n">
        <v>9</v>
      </c>
      <c r="L446" s="7" t="s">
        <v>989</v>
      </c>
      <c r="M446" s="6" t="n">
        <v>9</v>
      </c>
      <c r="N446" s="7" t="s">
        <v>24</v>
      </c>
    </row>
    <row r="447" customFormat="false" ht="29.85" hidden="false" customHeight="false" outlineLevel="0" collapsed="false">
      <c r="A447" s="6" t="n">
        <v>446</v>
      </c>
      <c r="B447" s="7" t="s">
        <v>644</v>
      </c>
      <c r="C447" s="7" t="s">
        <v>986</v>
      </c>
      <c r="D447" s="8" t="s">
        <v>1003</v>
      </c>
      <c r="E447" s="7" t="s">
        <v>1004</v>
      </c>
      <c r="F447" s="6" t="s">
        <v>526</v>
      </c>
      <c r="G447" s="7" t="s">
        <v>43</v>
      </c>
      <c r="H447" s="7" t="s">
        <v>38</v>
      </c>
      <c r="I447" s="7" t="s">
        <v>565</v>
      </c>
      <c r="J447" s="6" t="s">
        <v>528</v>
      </c>
      <c r="K447" s="6" t="n">
        <v>9</v>
      </c>
      <c r="L447" s="7" t="s">
        <v>989</v>
      </c>
      <c r="M447" s="6" t="n">
        <v>10</v>
      </c>
      <c r="N447" s="7" t="s">
        <v>40</v>
      </c>
    </row>
    <row r="448" customFormat="false" ht="29.85" hidden="false" customHeight="false" outlineLevel="0" collapsed="false">
      <c r="A448" s="6" t="n">
        <v>447</v>
      </c>
      <c r="B448" s="7" t="s">
        <v>644</v>
      </c>
      <c r="C448" s="7" t="s">
        <v>986</v>
      </c>
      <c r="D448" s="8" t="s">
        <v>1005</v>
      </c>
      <c r="E448" s="7" t="s">
        <v>1006</v>
      </c>
      <c r="F448" s="6" t="s">
        <v>526</v>
      </c>
      <c r="G448" s="7" t="s">
        <v>43</v>
      </c>
      <c r="H448" s="7" t="s">
        <v>38</v>
      </c>
      <c r="I448" s="7" t="s">
        <v>318</v>
      </c>
      <c r="J448" s="6" t="s">
        <v>528</v>
      </c>
      <c r="K448" s="6" t="n">
        <v>9</v>
      </c>
      <c r="L448" s="7" t="s">
        <v>989</v>
      </c>
      <c r="M448" s="6" t="n">
        <v>11</v>
      </c>
      <c r="N448" s="7" t="s">
        <v>40</v>
      </c>
    </row>
    <row r="449" customFormat="false" ht="29.85" hidden="false" customHeight="false" outlineLevel="0" collapsed="false">
      <c r="A449" s="6" t="n">
        <v>448</v>
      </c>
      <c r="B449" s="7" t="s">
        <v>644</v>
      </c>
      <c r="C449" s="7" t="s">
        <v>986</v>
      </c>
      <c r="D449" s="8" t="s">
        <v>1007</v>
      </c>
      <c r="E449" s="7" t="s">
        <v>993</v>
      </c>
      <c r="F449" s="6" t="s">
        <v>526</v>
      </c>
      <c r="G449" s="7" t="s">
        <v>43</v>
      </c>
      <c r="H449" s="7" t="s">
        <v>38</v>
      </c>
      <c r="I449" s="7" t="s">
        <v>318</v>
      </c>
      <c r="J449" s="6" t="s">
        <v>528</v>
      </c>
      <c r="K449" s="6" t="n">
        <v>9</v>
      </c>
      <c r="L449" s="7" t="s">
        <v>989</v>
      </c>
      <c r="M449" s="6" t="n">
        <v>12</v>
      </c>
      <c r="N449" s="7" t="s">
        <v>40</v>
      </c>
    </row>
    <row r="450" customFormat="false" ht="29.85" hidden="false" customHeight="false" outlineLevel="0" collapsed="false">
      <c r="A450" s="6" t="n">
        <v>449</v>
      </c>
      <c r="B450" s="7" t="s">
        <v>644</v>
      </c>
      <c r="C450" s="7" t="s">
        <v>986</v>
      </c>
      <c r="D450" s="8" t="s">
        <v>1008</v>
      </c>
      <c r="E450" s="7" t="s">
        <v>1009</v>
      </c>
      <c r="F450" s="6" t="s">
        <v>526</v>
      </c>
      <c r="G450" s="7" t="s">
        <v>43</v>
      </c>
      <c r="H450" s="7" t="s">
        <v>38</v>
      </c>
      <c r="I450" s="7" t="s">
        <v>125</v>
      </c>
      <c r="J450" s="6" t="s">
        <v>528</v>
      </c>
      <c r="K450" s="6" t="n">
        <v>9</v>
      </c>
      <c r="L450" s="7" t="s">
        <v>989</v>
      </c>
      <c r="M450" s="6" t="n">
        <v>13</v>
      </c>
      <c r="N450" s="7" t="s">
        <v>40</v>
      </c>
    </row>
    <row r="451" customFormat="false" ht="41" hidden="false" customHeight="false" outlineLevel="0" collapsed="false">
      <c r="A451" s="6" t="n">
        <v>450</v>
      </c>
      <c r="B451" s="7" t="s">
        <v>644</v>
      </c>
      <c r="C451" s="7" t="s">
        <v>986</v>
      </c>
      <c r="D451" s="8" t="s">
        <v>1010</v>
      </c>
      <c r="E451" s="7" t="s">
        <v>996</v>
      </c>
      <c r="F451" s="6" t="s">
        <v>526</v>
      </c>
      <c r="G451" s="7" t="s">
        <v>43</v>
      </c>
      <c r="H451" s="7" t="s">
        <v>38</v>
      </c>
      <c r="I451" s="7" t="s">
        <v>1011</v>
      </c>
      <c r="J451" s="6" t="s">
        <v>528</v>
      </c>
      <c r="K451" s="6" t="n">
        <v>9</v>
      </c>
      <c r="L451" s="7" t="s">
        <v>989</v>
      </c>
      <c r="M451" s="6" t="n">
        <v>14</v>
      </c>
      <c r="N451" s="7" t="s">
        <v>40</v>
      </c>
    </row>
    <row r="452" customFormat="false" ht="44" hidden="false" customHeight="false" outlineLevel="0" collapsed="false">
      <c r="A452" s="6" t="n">
        <v>451</v>
      </c>
      <c r="B452" s="7" t="s">
        <v>644</v>
      </c>
      <c r="C452" s="7" t="s">
        <v>986</v>
      </c>
      <c r="D452" s="8" t="s">
        <v>1012</v>
      </c>
      <c r="E452" s="7" t="s">
        <v>988</v>
      </c>
      <c r="F452" s="6" t="s">
        <v>526</v>
      </c>
      <c r="G452" s="7" t="s">
        <v>43</v>
      </c>
      <c r="H452" s="7" t="s">
        <v>38</v>
      </c>
      <c r="I452" s="7" t="s">
        <v>643</v>
      </c>
      <c r="J452" s="6" t="s">
        <v>528</v>
      </c>
      <c r="K452" s="6" t="n">
        <v>9</v>
      </c>
      <c r="L452" s="7" t="s">
        <v>989</v>
      </c>
      <c r="M452" s="6" t="n">
        <v>15</v>
      </c>
      <c r="N452" s="7" t="s">
        <v>40</v>
      </c>
    </row>
    <row r="453" customFormat="false" ht="44" hidden="false" customHeight="false" outlineLevel="0" collapsed="false">
      <c r="A453" s="6" t="n">
        <v>452</v>
      </c>
      <c r="B453" s="7" t="s">
        <v>644</v>
      </c>
      <c r="C453" s="7" t="s">
        <v>986</v>
      </c>
      <c r="D453" s="8" t="s">
        <v>1013</v>
      </c>
      <c r="E453" s="7" t="s">
        <v>1006</v>
      </c>
      <c r="F453" s="6" t="s">
        <v>526</v>
      </c>
      <c r="G453" s="7" t="s">
        <v>43</v>
      </c>
      <c r="H453" s="7" t="s">
        <v>38</v>
      </c>
      <c r="I453" s="7" t="s">
        <v>1014</v>
      </c>
      <c r="J453" s="6" t="s">
        <v>528</v>
      </c>
      <c r="K453" s="6" t="n">
        <v>9</v>
      </c>
      <c r="L453" s="7" t="s">
        <v>989</v>
      </c>
      <c r="M453" s="6" t="n">
        <v>16</v>
      </c>
      <c r="N453" s="7" t="s">
        <v>40</v>
      </c>
    </row>
    <row r="454" customFormat="false" ht="15" hidden="false" customHeight="false" outlineLevel="0" collapsed="false">
      <c r="A454" s="6" t="n">
        <v>453</v>
      </c>
      <c r="B454" s="7" t="s">
        <v>644</v>
      </c>
      <c r="C454" s="7" t="s">
        <v>1015</v>
      </c>
      <c r="D454" s="8" t="s">
        <v>1016</v>
      </c>
      <c r="E454" s="7" t="s">
        <v>1017</v>
      </c>
      <c r="F454" s="6" t="s">
        <v>476</v>
      </c>
      <c r="G454" s="7" t="s">
        <v>43</v>
      </c>
      <c r="H454" s="7" t="s">
        <v>20</v>
      </c>
      <c r="I454" s="7" t="s">
        <v>527</v>
      </c>
      <c r="J454" s="6" t="s">
        <v>528</v>
      </c>
      <c r="K454" s="6" t="n">
        <v>10</v>
      </c>
      <c r="L454" s="7" t="s">
        <v>1018</v>
      </c>
      <c r="M454" s="6" t="n">
        <v>1</v>
      </c>
      <c r="N454" s="7" t="s">
        <v>24</v>
      </c>
    </row>
    <row r="455" customFormat="false" ht="15" hidden="false" customHeight="false" outlineLevel="0" collapsed="false">
      <c r="A455" s="6" t="n">
        <v>454</v>
      </c>
      <c r="B455" s="7" t="s">
        <v>644</v>
      </c>
      <c r="C455" s="7" t="s">
        <v>1015</v>
      </c>
      <c r="D455" s="8" t="s">
        <v>1019</v>
      </c>
      <c r="E455" s="7" t="s">
        <v>1020</v>
      </c>
      <c r="F455" s="6" t="s">
        <v>476</v>
      </c>
      <c r="G455" s="7" t="s">
        <v>43</v>
      </c>
      <c r="H455" s="7" t="s">
        <v>20</v>
      </c>
      <c r="I455" s="7" t="s">
        <v>595</v>
      </c>
      <c r="J455" s="6" t="s">
        <v>528</v>
      </c>
      <c r="K455" s="6" t="n">
        <v>10</v>
      </c>
      <c r="L455" s="7" t="s">
        <v>1018</v>
      </c>
      <c r="M455" s="6" t="n">
        <v>2</v>
      </c>
      <c r="N455" s="7" t="s">
        <v>24</v>
      </c>
    </row>
    <row r="456" customFormat="false" ht="15" hidden="false" customHeight="false" outlineLevel="0" collapsed="false">
      <c r="A456" s="6" t="n">
        <v>455</v>
      </c>
      <c r="B456" s="7" t="s">
        <v>644</v>
      </c>
      <c r="C456" s="7" t="s">
        <v>1015</v>
      </c>
      <c r="D456" s="8" t="s">
        <v>1021</v>
      </c>
      <c r="E456" s="7" t="s">
        <v>1022</v>
      </c>
      <c r="F456" s="6" t="s">
        <v>476</v>
      </c>
      <c r="G456" s="7" t="s">
        <v>43</v>
      </c>
      <c r="H456" s="7" t="s">
        <v>20</v>
      </c>
      <c r="I456" s="7" t="s">
        <v>243</v>
      </c>
      <c r="J456" s="6" t="s">
        <v>528</v>
      </c>
      <c r="K456" s="6" t="n">
        <v>10</v>
      </c>
      <c r="L456" s="7" t="s">
        <v>1018</v>
      </c>
      <c r="M456" s="6" t="n">
        <v>3</v>
      </c>
      <c r="N456" s="7" t="s">
        <v>24</v>
      </c>
    </row>
    <row r="457" customFormat="false" ht="29.85" hidden="false" customHeight="false" outlineLevel="0" collapsed="false">
      <c r="A457" s="6" t="n">
        <v>456</v>
      </c>
      <c r="B457" s="7" t="s">
        <v>644</v>
      </c>
      <c r="C457" s="7" t="s">
        <v>1015</v>
      </c>
      <c r="D457" s="8" t="s">
        <v>1023</v>
      </c>
      <c r="E457" s="7" t="s">
        <v>1024</v>
      </c>
      <c r="F457" s="6" t="s">
        <v>476</v>
      </c>
      <c r="G457" s="7" t="s">
        <v>43</v>
      </c>
      <c r="H457" s="7" t="s">
        <v>20</v>
      </c>
      <c r="I457" s="7" t="s">
        <v>243</v>
      </c>
      <c r="J457" s="6" t="s">
        <v>528</v>
      </c>
      <c r="K457" s="6" t="n">
        <v>10</v>
      </c>
      <c r="L457" s="7" t="s">
        <v>1018</v>
      </c>
      <c r="M457" s="6" t="n">
        <v>4</v>
      </c>
      <c r="N457" s="7" t="s">
        <v>24</v>
      </c>
    </row>
    <row r="458" customFormat="false" ht="15" hidden="false" customHeight="false" outlineLevel="0" collapsed="false">
      <c r="A458" s="6" t="n">
        <v>457</v>
      </c>
      <c r="B458" s="7" t="s">
        <v>644</v>
      </c>
      <c r="C458" s="7" t="s">
        <v>1015</v>
      </c>
      <c r="D458" s="8" t="s">
        <v>1025</v>
      </c>
      <c r="E458" s="7" t="s">
        <v>1026</v>
      </c>
      <c r="F458" s="6" t="s">
        <v>476</v>
      </c>
      <c r="G458" s="7" t="s">
        <v>43</v>
      </c>
      <c r="H458" s="7" t="s">
        <v>38</v>
      </c>
      <c r="I458" s="7" t="s">
        <v>1027</v>
      </c>
      <c r="J458" s="6" t="s">
        <v>528</v>
      </c>
      <c r="K458" s="6" t="n">
        <v>10</v>
      </c>
      <c r="L458" s="7" t="s">
        <v>1018</v>
      </c>
      <c r="M458" s="6" t="n">
        <v>5</v>
      </c>
      <c r="N458" s="7" t="s">
        <v>40</v>
      </c>
    </row>
    <row r="459" customFormat="false" ht="26.85" hidden="false" customHeight="false" outlineLevel="0" collapsed="false">
      <c r="A459" s="6" t="n">
        <v>458</v>
      </c>
      <c r="B459" s="7" t="s">
        <v>644</v>
      </c>
      <c r="C459" s="7" t="s">
        <v>1015</v>
      </c>
      <c r="D459" s="8" t="s">
        <v>1028</v>
      </c>
      <c r="E459" s="7" t="s">
        <v>1029</v>
      </c>
      <c r="F459" s="6" t="s">
        <v>476</v>
      </c>
      <c r="G459" s="7" t="s">
        <v>43</v>
      </c>
      <c r="H459" s="7" t="s">
        <v>20</v>
      </c>
      <c r="I459" s="7" t="s">
        <v>192</v>
      </c>
      <c r="J459" s="6" t="s">
        <v>528</v>
      </c>
      <c r="K459" s="6" t="n">
        <v>10</v>
      </c>
      <c r="L459" s="7" t="s">
        <v>1018</v>
      </c>
      <c r="M459" s="6" t="n">
        <v>6</v>
      </c>
      <c r="N459" s="7" t="s">
        <v>24</v>
      </c>
    </row>
    <row r="460" customFormat="false" ht="29.85" hidden="false" customHeight="false" outlineLevel="0" collapsed="false">
      <c r="A460" s="6" t="n">
        <v>459</v>
      </c>
      <c r="B460" s="7" t="s">
        <v>644</v>
      </c>
      <c r="C460" s="7" t="s">
        <v>1015</v>
      </c>
      <c r="D460" s="8" t="s">
        <v>1030</v>
      </c>
      <c r="E460" s="7" t="s">
        <v>1031</v>
      </c>
      <c r="F460" s="6" t="s">
        <v>476</v>
      </c>
      <c r="G460" s="7" t="s">
        <v>43</v>
      </c>
      <c r="H460" s="7" t="s">
        <v>20</v>
      </c>
      <c r="I460" s="7" t="s">
        <v>192</v>
      </c>
      <c r="J460" s="6" t="s">
        <v>528</v>
      </c>
      <c r="K460" s="6" t="n">
        <v>10</v>
      </c>
      <c r="L460" s="7" t="s">
        <v>1018</v>
      </c>
      <c r="M460" s="6" t="n">
        <v>7</v>
      </c>
      <c r="N460" s="7" t="s">
        <v>24</v>
      </c>
    </row>
    <row r="461" customFormat="false" ht="29.85" hidden="false" customHeight="false" outlineLevel="0" collapsed="false">
      <c r="A461" s="6" t="n">
        <v>460</v>
      </c>
      <c r="B461" s="7" t="s">
        <v>644</v>
      </c>
      <c r="C461" s="7" t="s">
        <v>1015</v>
      </c>
      <c r="D461" s="8" t="s">
        <v>1032</v>
      </c>
      <c r="E461" s="7" t="s">
        <v>1029</v>
      </c>
      <c r="F461" s="6" t="s">
        <v>476</v>
      </c>
      <c r="G461" s="7" t="s">
        <v>43</v>
      </c>
      <c r="H461" s="7" t="s">
        <v>20</v>
      </c>
      <c r="I461" s="7" t="s">
        <v>105</v>
      </c>
      <c r="J461" s="6" t="s">
        <v>528</v>
      </c>
      <c r="K461" s="6" t="n">
        <v>10</v>
      </c>
      <c r="L461" s="7" t="s">
        <v>1018</v>
      </c>
      <c r="M461" s="6" t="n">
        <v>8</v>
      </c>
      <c r="N461" s="7" t="s">
        <v>24</v>
      </c>
    </row>
    <row r="462" customFormat="false" ht="29.85" hidden="false" customHeight="false" outlineLevel="0" collapsed="false">
      <c r="A462" s="6" t="n">
        <v>461</v>
      </c>
      <c r="B462" s="7" t="s">
        <v>644</v>
      </c>
      <c r="C462" s="7" t="s">
        <v>1015</v>
      </c>
      <c r="D462" s="8" t="s">
        <v>1033</v>
      </c>
      <c r="E462" s="7" t="s">
        <v>1017</v>
      </c>
      <c r="F462" s="6" t="s">
        <v>476</v>
      </c>
      <c r="G462" s="7" t="s">
        <v>43</v>
      </c>
      <c r="H462" s="7" t="s">
        <v>20</v>
      </c>
      <c r="I462" s="7" t="s">
        <v>112</v>
      </c>
      <c r="J462" s="6" t="s">
        <v>528</v>
      </c>
      <c r="K462" s="6" t="n">
        <v>10</v>
      </c>
      <c r="L462" s="7" t="s">
        <v>1018</v>
      </c>
      <c r="M462" s="6" t="n">
        <v>9</v>
      </c>
      <c r="N462" s="7" t="s">
        <v>24</v>
      </c>
    </row>
    <row r="463" customFormat="false" ht="15" hidden="false" customHeight="false" outlineLevel="0" collapsed="false">
      <c r="A463" s="6" t="n">
        <v>462</v>
      </c>
      <c r="B463" s="7" t="s">
        <v>644</v>
      </c>
      <c r="C463" s="7" t="s">
        <v>1015</v>
      </c>
      <c r="D463" s="8" t="s">
        <v>1034</v>
      </c>
      <c r="E463" s="7" t="s">
        <v>1035</v>
      </c>
      <c r="F463" s="6" t="s">
        <v>37</v>
      </c>
      <c r="G463" s="7" t="s">
        <v>27</v>
      </c>
      <c r="H463" s="7" t="s">
        <v>38</v>
      </c>
      <c r="I463" s="7" t="s">
        <v>1036</v>
      </c>
      <c r="J463" s="6" t="s">
        <v>528</v>
      </c>
      <c r="K463" s="6" t="n">
        <v>10</v>
      </c>
      <c r="L463" s="7" t="s">
        <v>1018</v>
      </c>
      <c r="M463" s="6" t="n">
        <v>10</v>
      </c>
      <c r="N463" s="7" t="s">
        <v>40</v>
      </c>
    </row>
    <row r="464" customFormat="false" ht="29.85" hidden="false" customHeight="false" outlineLevel="0" collapsed="false">
      <c r="A464" s="6" t="n">
        <v>463</v>
      </c>
      <c r="B464" s="7" t="s">
        <v>644</v>
      </c>
      <c r="C464" s="7" t="s">
        <v>1015</v>
      </c>
      <c r="D464" s="8" t="s">
        <v>1037</v>
      </c>
      <c r="E464" s="7" t="s">
        <v>1020</v>
      </c>
      <c r="F464" s="6" t="s">
        <v>476</v>
      </c>
      <c r="G464" s="7" t="s">
        <v>43</v>
      </c>
      <c r="H464" s="7" t="s">
        <v>20</v>
      </c>
      <c r="I464" s="7" t="s">
        <v>289</v>
      </c>
      <c r="J464" s="6" t="s">
        <v>528</v>
      </c>
      <c r="K464" s="6" t="n">
        <v>10</v>
      </c>
      <c r="L464" s="7" t="s">
        <v>1018</v>
      </c>
      <c r="M464" s="6" t="n">
        <v>11</v>
      </c>
      <c r="N464" s="7" t="s">
        <v>24</v>
      </c>
    </row>
    <row r="465" customFormat="false" ht="26.85" hidden="false" customHeight="false" outlineLevel="0" collapsed="false">
      <c r="A465" s="6" t="n">
        <v>464</v>
      </c>
      <c r="B465" s="7" t="s">
        <v>644</v>
      </c>
      <c r="C465" s="7" t="s">
        <v>1015</v>
      </c>
      <c r="D465" s="8" t="s">
        <v>1038</v>
      </c>
      <c r="E465" s="7" t="s">
        <v>1039</v>
      </c>
      <c r="F465" s="6" t="s">
        <v>476</v>
      </c>
      <c r="G465" s="7" t="s">
        <v>43</v>
      </c>
      <c r="H465" s="7" t="s">
        <v>38</v>
      </c>
      <c r="I465" s="7" t="s">
        <v>1040</v>
      </c>
      <c r="J465" s="6" t="s">
        <v>528</v>
      </c>
      <c r="K465" s="6" t="n">
        <v>10</v>
      </c>
      <c r="L465" s="7" t="s">
        <v>1018</v>
      </c>
      <c r="M465" s="6" t="n">
        <v>12</v>
      </c>
      <c r="N465" s="7" t="s">
        <v>40</v>
      </c>
    </row>
    <row r="466" customFormat="false" ht="29.85" hidden="false" customHeight="false" outlineLevel="0" collapsed="false">
      <c r="A466" s="6" t="n">
        <v>465</v>
      </c>
      <c r="B466" s="7" t="s">
        <v>644</v>
      </c>
      <c r="C466" s="7" t="s">
        <v>1015</v>
      </c>
      <c r="D466" s="8" t="s">
        <v>1041</v>
      </c>
      <c r="E466" s="7" t="s">
        <v>1042</v>
      </c>
      <c r="F466" s="6" t="s">
        <v>476</v>
      </c>
      <c r="G466" s="7" t="s">
        <v>43</v>
      </c>
      <c r="H466" s="7" t="s">
        <v>38</v>
      </c>
      <c r="I466" s="7" t="s">
        <v>1043</v>
      </c>
      <c r="J466" s="6" t="s">
        <v>528</v>
      </c>
      <c r="K466" s="6" t="n">
        <v>10</v>
      </c>
      <c r="L466" s="7" t="s">
        <v>1018</v>
      </c>
      <c r="M466" s="6" t="n">
        <v>13</v>
      </c>
      <c r="N466" s="7" t="s">
        <v>40</v>
      </c>
    </row>
    <row r="467" customFormat="false" ht="29.85" hidden="false" customHeight="false" outlineLevel="0" collapsed="false">
      <c r="A467" s="6" t="n">
        <v>466</v>
      </c>
      <c r="B467" s="7" t="s">
        <v>644</v>
      </c>
      <c r="C467" s="7" t="s">
        <v>1015</v>
      </c>
      <c r="D467" s="8" t="s">
        <v>1044</v>
      </c>
      <c r="E467" s="7" t="s">
        <v>1045</v>
      </c>
      <c r="F467" s="6" t="s">
        <v>476</v>
      </c>
      <c r="G467" s="7" t="s">
        <v>43</v>
      </c>
      <c r="H467" s="7" t="s">
        <v>38</v>
      </c>
      <c r="I467" s="7" t="s">
        <v>1046</v>
      </c>
      <c r="J467" s="6" t="s">
        <v>528</v>
      </c>
      <c r="K467" s="6" t="n">
        <v>10</v>
      </c>
      <c r="L467" s="7" t="s">
        <v>1018</v>
      </c>
      <c r="M467" s="6" t="n">
        <v>14</v>
      </c>
      <c r="N467" s="7" t="s">
        <v>40</v>
      </c>
    </row>
    <row r="468" customFormat="false" ht="29.85" hidden="false" customHeight="false" outlineLevel="0" collapsed="false">
      <c r="A468" s="6" t="n">
        <v>467</v>
      </c>
      <c r="B468" s="7" t="s">
        <v>644</v>
      </c>
      <c r="C468" s="7" t="s">
        <v>1015</v>
      </c>
      <c r="D468" s="8" t="s">
        <v>1047</v>
      </c>
      <c r="E468" s="7" t="s">
        <v>1048</v>
      </c>
      <c r="F468" s="6" t="s">
        <v>476</v>
      </c>
      <c r="G468" s="7" t="s">
        <v>43</v>
      </c>
      <c r="H468" s="7" t="s">
        <v>38</v>
      </c>
      <c r="I468" s="7" t="s">
        <v>973</v>
      </c>
      <c r="J468" s="6" t="s">
        <v>528</v>
      </c>
      <c r="K468" s="6" t="n">
        <v>10</v>
      </c>
      <c r="L468" s="7" t="s">
        <v>1018</v>
      </c>
      <c r="M468" s="6" t="n">
        <v>15</v>
      </c>
      <c r="N468" s="7" t="s">
        <v>40</v>
      </c>
    </row>
    <row r="469" customFormat="false" ht="29.85" hidden="false" customHeight="false" outlineLevel="0" collapsed="false">
      <c r="A469" s="6" t="n">
        <v>468</v>
      </c>
      <c r="B469" s="7" t="s">
        <v>644</v>
      </c>
      <c r="C469" s="7" t="s">
        <v>1015</v>
      </c>
      <c r="D469" s="8" t="s">
        <v>1049</v>
      </c>
      <c r="E469" s="7" t="s">
        <v>1029</v>
      </c>
      <c r="F469" s="6" t="s">
        <v>476</v>
      </c>
      <c r="G469" s="7" t="s">
        <v>43</v>
      </c>
      <c r="H469" s="7" t="s">
        <v>38</v>
      </c>
      <c r="I469" s="7" t="s">
        <v>53</v>
      </c>
      <c r="J469" s="6" t="s">
        <v>528</v>
      </c>
      <c r="K469" s="6" t="n">
        <v>10</v>
      </c>
      <c r="L469" s="7" t="s">
        <v>1018</v>
      </c>
      <c r="M469" s="6" t="n">
        <v>16</v>
      </c>
      <c r="N469" s="7" t="s">
        <v>40</v>
      </c>
    </row>
    <row r="470" customFormat="false" ht="29.85" hidden="false" customHeight="false" outlineLevel="0" collapsed="false">
      <c r="A470" s="6" t="n">
        <v>469</v>
      </c>
      <c r="B470" s="7" t="s">
        <v>644</v>
      </c>
      <c r="C470" s="7" t="s">
        <v>1015</v>
      </c>
      <c r="D470" s="8" t="s">
        <v>1050</v>
      </c>
      <c r="E470" s="7" t="s">
        <v>1022</v>
      </c>
      <c r="F470" s="6" t="s">
        <v>476</v>
      </c>
      <c r="G470" s="7" t="s">
        <v>43</v>
      </c>
      <c r="H470" s="7" t="s">
        <v>38</v>
      </c>
      <c r="I470" s="7" t="s">
        <v>309</v>
      </c>
      <c r="J470" s="6" t="s">
        <v>528</v>
      </c>
      <c r="K470" s="6" t="n">
        <v>10</v>
      </c>
      <c r="L470" s="7" t="s">
        <v>1018</v>
      </c>
      <c r="M470" s="6" t="n">
        <v>17</v>
      </c>
      <c r="N470" s="7" t="s">
        <v>40</v>
      </c>
    </row>
    <row r="471" customFormat="false" ht="29.85" hidden="false" customHeight="false" outlineLevel="0" collapsed="false">
      <c r="A471" s="6" t="n">
        <v>470</v>
      </c>
      <c r="B471" s="7" t="s">
        <v>644</v>
      </c>
      <c r="C471" s="7" t="s">
        <v>1015</v>
      </c>
      <c r="D471" s="8" t="s">
        <v>1051</v>
      </c>
      <c r="E471" s="7" t="s">
        <v>1052</v>
      </c>
      <c r="F471" s="6" t="s">
        <v>526</v>
      </c>
      <c r="G471" s="7" t="s">
        <v>43</v>
      </c>
      <c r="H471" s="7" t="s">
        <v>38</v>
      </c>
      <c r="I471" s="7" t="s">
        <v>163</v>
      </c>
      <c r="J471" s="6" t="s">
        <v>528</v>
      </c>
      <c r="K471" s="6" t="n">
        <v>10</v>
      </c>
      <c r="L471" s="7" t="s">
        <v>1018</v>
      </c>
      <c r="M471" s="6" t="n">
        <v>18</v>
      </c>
      <c r="N471" s="7" t="s">
        <v>40</v>
      </c>
    </row>
    <row r="472" customFormat="false" ht="29.85" hidden="false" customHeight="false" outlineLevel="0" collapsed="false">
      <c r="A472" s="6" t="n">
        <v>471</v>
      </c>
      <c r="B472" s="7" t="s">
        <v>644</v>
      </c>
      <c r="C472" s="7" t="s">
        <v>1015</v>
      </c>
      <c r="D472" s="8" t="s">
        <v>1053</v>
      </c>
      <c r="E472" s="7" t="s">
        <v>1054</v>
      </c>
      <c r="F472" s="6" t="s">
        <v>476</v>
      </c>
      <c r="G472" s="7" t="s">
        <v>43</v>
      </c>
      <c r="H472" s="7" t="s">
        <v>38</v>
      </c>
      <c r="I472" s="7" t="s">
        <v>1055</v>
      </c>
      <c r="J472" s="6" t="s">
        <v>528</v>
      </c>
      <c r="K472" s="6" t="n">
        <v>10</v>
      </c>
      <c r="L472" s="7" t="s">
        <v>1018</v>
      </c>
      <c r="M472" s="6" t="n">
        <v>19</v>
      </c>
      <c r="N472" s="7" t="s">
        <v>40</v>
      </c>
    </row>
    <row r="473" customFormat="false" ht="29.85" hidden="false" customHeight="false" outlineLevel="0" collapsed="false">
      <c r="A473" s="6" t="n">
        <v>472</v>
      </c>
      <c r="B473" s="7" t="s">
        <v>644</v>
      </c>
      <c r="C473" s="7" t="s">
        <v>1015</v>
      </c>
      <c r="D473" s="8" t="s">
        <v>1056</v>
      </c>
      <c r="E473" s="7" t="s">
        <v>1052</v>
      </c>
      <c r="F473" s="6" t="s">
        <v>526</v>
      </c>
      <c r="G473" s="7" t="s">
        <v>43</v>
      </c>
      <c r="H473" s="7" t="s">
        <v>38</v>
      </c>
      <c r="I473" s="7" t="s">
        <v>470</v>
      </c>
      <c r="J473" s="6" t="s">
        <v>528</v>
      </c>
      <c r="K473" s="6" t="n">
        <v>10</v>
      </c>
      <c r="L473" s="7" t="s">
        <v>1018</v>
      </c>
      <c r="M473" s="6" t="n">
        <v>20</v>
      </c>
      <c r="N473" s="7" t="s">
        <v>40</v>
      </c>
    </row>
    <row r="474" customFormat="false" ht="29.85" hidden="false" customHeight="false" outlineLevel="0" collapsed="false">
      <c r="A474" s="6" t="n">
        <v>473</v>
      </c>
      <c r="B474" s="7" t="s">
        <v>644</v>
      </c>
      <c r="C474" s="7" t="s">
        <v>1015</v>
      </c>
      <c r="D474" s="8" t="s">
        <v>1057</v>
      </c>
      <c r="E474" s="7" t="s">
        <v>1058</v>
      </c>
      <c r="F474" s="6" t="s">
        <v>476</v>
      </c>
      <c r="G474" s="7" t="s">
        <v>43</v>
      </c>
      <c r="H474" s="7" t="s">
        <v>38</v>
      </c>
      <c r="I474" s="7" t="s">
        <v>687</v>
      </c>
      <c r="J474" s="6" t="s">
        <v>528</v>
      </c>
      <c r="K474" s="6" t="n">
        <v>10</v>
      </c>
      <c r="L474" s="7" t="s">
        <v>1018</v>
      </c>
      <c r="M474" s="6" t="n">
        <v>21</v>
      </c>
      <c r="N474" s="7" t="s">
        <v>40</v>
      </c>
    </row>
    <row r="475" customFormat="false" ht="15" hidden="false" customHeight="false" outlineLevel="0" collapsed="false">
      <c r="A475" s="6" t="n">
        <v>474</v>
      </c>
      <c r="B475" s="7" t="s">
        <v>644</v>
      </c>
      <c r="C475" s="7" t="s">
        <v>1059</v>
      </c>
      <c r="D475" s="8" t="s">
        <v>1060</v>
      </c>
      <c r="E475" s="7" t="s">
        <v>1061</v>
      </c>
      <c r="F475" s="6" t="s">
        <v>476</v>
      </c>
      <c r="G475" s="7" t="s">
        <v>43</v>
      </c>
      <c r="H475" s="7" t="s">
        <v>20</v>
      </c>
      <c r="I475" s="7" t="s">
        <v>1062</v>
      </c>
      <c r="J475" s="6" t="s">
        <v>528</v>
      </c>
      <c r="K475" s="6" t="n">
        <v>11</v>
      </c>
      <c r="L475" s="7" t="s">
        <v>1063</v>
      </c>
      <c r="M475" s="6" t="n">
        <v>1</v>
      </c>
      <c r="N475" s="7" t="s">
        <v>24</v>
      </c>
    </row>
    <row r="476" customFormat="false" ht="15" hidden="false" customHeight="false" outlineLevel="0" collapsed="false">
      <c r="A476" s="6" t="n">
        <v>475</v>
      </c>
      <c r="B476" s="7" t="s">
        <v>644</v>
      </c>
      <c r="C476" s="7" t="s">
        <v>1059</v>
      </c>
      <c r="D476" s="8" t="s">
        <v>1064</v>
      </c>
      <c r="E476" s="7" t="s">
        <v>1065</v>
      </c>
      <c r="F476" s="6" t="s">
        <v>476</v>
      </c>
      <c r="G476" s="7" t="s">
        <v>43</v>
      </c>
      <c r="H476" s="7" t="s">
        <v>20</v>
      </c>
      <c r="I476" s="7" t="s">
        <v>138</v>
      </c>
      <c r="J476" s="6" t="s">
        <v>528</v>
      </c>
      <c r="K476" s="6" t="n">
        <v>11</v>
      </c>
      <c r="L476" s="7" t="s">
        <v>1063</v>
      </c>
      <c r="M476" s="6" t="n">
        <v>2</v>
      </c>
      <c r="N476" s="7" t="s">
        <v>24</v>
      </c>
    </row>
    <row r="477" customFormat="false" ht="29.85" hidden="false" customHeight="false" outlineLevel="0" collapsed="false">
      <c r="A477" s="6" t="n">
        <v>476</v>
      </c>
      <c r="B477" s="7" t="s">
        <v>644</v>
      </c>
      <c r="C477" s="7" t="s">
        <v>1059</v>
      </c>
      <c r="D477" s="8" t="s">
        <v>1066</v>
      </c>
      <c r="E477" s="7" t="s">
        <v>1067</v>
      </c>
      <c r="F477" s="6" t="s">
        <v>526</v>
      </c>
      <c r="G477" s="7" t="s">
        <v>43</v>
      </c>
      <c r="H477" s="7" t="s">
        <v>20</v>
      </c>
      <c r="I477" s="7" t="s">
        <v>76</v>
      </c>
      <c r="J477" s="6" t="s">
        <v>528</v>
      </c>
      <c r="K477" s="6" t="n">
        <v>11</v>
      </c>
      <c r="L477" s="7" t="s">
        <v>1063</v>
      </c>
      <c r="M477" s="6" t="n">
        <v>3</v>
      </c>
      <c r="N477" s="7" t="s">
        <v>24</v>
      </c>
    </row>
    <row r="478" customFormat="false" ht="29.85" hidden="false" customHeight="false" outlineLevel="0" collapsed="false">
      <c r="A478" s="6" t="n">
        <v>477</v>
      </c>
      <c r="B478" s="7" t="s">
        <v>644</v>
      </c>
      <c r="C478" s="7" t="s">
        <v>1059</v>
      </c>
      <c r="D478" s="8" t="s">
        <v>1068</v>
      </c>
      <c r="E478" s="7" t="s">
        <v>1065</v>
      </c>
      <c r="F478" s="6" t="s">
        <v>476</v>
      </c>
      <c r="G478" s="7" t="s">
        <v>43</v>
      </c>
      <c r="H478" s="7" t="s">
        <v>20</v>
      </c>
      <c r="I478" s="7" t="s">
        <v>457</v>
      </c>
      <c r="J478" s="6" t="s">
        <v>528</v>
      </c>
      <c r="K478" s="6" t="n">
        <v>11</v>
      </c>
      <c r="L478" s="7" t="s">
        <v>1063</v>
      </c>
      <c r="M478" s="6" t="n">
        <v>4</v>
      </c>
      <c r="N478" s="7" t="s">
        <v>24</v>
      </c>
    </row>
    <row r="479" customFormat="false" ht="29.85" hidden="false" customHeight="false" outlineLevel="0" collapsed="false">
      <c r="A479" s="6" t="n">
        <v>478</v>
      </c>
      <c r="B479" s="7" t="s">
        <v>644</v>
      </c>
      <c r="C479" s="7" t="s">
        <v>1059</v>
      </c>
      <c r="D479" s="8" t="s">
        <v>1069</v>
      </c>
      <c r="E479" s="7" t="s">
        <v>1059</v>
      </c>
      <c r="F479" s="6" t="s">
        <v>476</v>
      </c>
      <c r="G479" s="7" t="s">
        <v>43</v>
      </c>
      <c r="H479" s="7" t="s">
        <v>38</v>
      </c>
      <c r="I479" s="7" t="s">
        <v>163</v>
      </c>
      <c r="J479" s="6" t="s">
        <v>528</v>
      </c>
      <c r="K479" s="6" t="n">
        <v>11</v>
      </c>
      <c r="L479" s="7" t="s">
        <v>1063</v>
      </c>
      <c r="M479" s="6" t="n">
        <v>5</v>
      </c>
      <c r="N479" s="7" t="s">
        <v>40</v>
      </c>
    </row>
    <row r="480" customFormat="false" ht="29.85" hidden="false" customHeight="false" outlineLevel="0" collapsed="false">
      <c r="A480" s="6" t="n">
        <v>479</v>
      </c>
      <c r="B480" s="7" t="s">
        <v>644</v>
      </c>
      <c r="C480" s="7" t="s">
        <v>1059</v>
      </c>
      <c r="D480" s="8" t="s">
        <v>1070</v>
      </c>
      <c r="E480" s="7" t="s">
        <v>1061</v>
      </c>
      <c r="F480" s="6" t="s">
        <v>476</v>
      </c>
      <c r="G480" s="7" t="s">
        <v>43</v>
      </c>
      <c r="H480" s="7" t="s">
        <v>38</v>
      </c>
      <c r="I480" s="7" t="s">
        <v>123</v>
      </c>
      <c r="J480" s="6" t="s">
        <v>528</v>
      </c>
      <c r="K480" s="6" t="n">
        <v>11</v>
      </c>
      <c r="L480" s="7" t="s">
        <v>1063</v>
      </c>
      <c r="M480" s="6" t="n">
        <v>6</v>
      </c>
      <c r="N480" s="7" t="s">
        <v>40</v>
      </c>
    </row>
    <row r="481" customFormat="false" ht="29.85" hidden="false" customHeight="false" outlineLevel="0" collapsed="false">
      <c r="A481" s="6" t="n">
        <v>480</v>
      </c>
      <c r="B481" s="7" t="s">
        <v>644</v>
      </c>
      <c r="C481" s="7" t="s">
        <v>1059</v>
      </c>
      <c r="D481" s="8" t="s">
        <v>1071</v>
      </c>
      <c r="E481" s="7" t="s">
        <v>1072</v>
      </c>
      <c r="F481" s="6" t="s">
        <v>37</v>
      </c>
      <c r="G481" s="7" t="s">
        <v>27</v>
      </c>
      <c r="H481" s="10" t="s">
        <v>389</v>
      </c>
      <c r="I481" s="7" t="s">
        <v>1073</v>
      </c>
      <c r="J481" s="6" t="s">
        <v>528</v>
      </c>
      <c r="K481" s="6" t="n">
        <v>11</v>
      </c>
      <c r="L481" s="7" t="s">
        <v>1063</v>
      </c>
      <c r="M481" s="6" t="n">
        <v>7</v>
      </c>
      <c r="N481" s="7" t="s">
        <v>40</v>
      </c>
    </row>
    <row r="482" customFormat="false" ht="15" hidden="false" customHeight="false" outlineLevel="0" collapsed="false">
      <c r="A482" s="6" t="n">
        <v>481</v>
      </c>
      <c r="B482" s="7" t="s">
        <v>644</v>
      </c>
      <c r="C482" s="7" t="s">
        <v>1074</v>
      </c>
      <c r="D482" s="8" t="s">
        <v>1075</v>
      </c>
      <c r="E482" s="7" t="s">
        <v>1076</v>
      </c>
      <c r="F482" s="6" t="s">
        <v>476</v>
      </c>
      <c r="G482" s="7" t="s">
        <v>43</v>
      </c>
      <c r="H482" s="7" t="s">
        <v>20</v>
      </c>
      <c r="I482" s="7" t="s">
        <v>1077</v>
      </c>
      <c r="J482" s="6" t="s">
        <v>528</v>
      </c>
      <c r="K482" s="6" t="n">
        <v>12</v>
      </c>
      <c r="L482" s="7" t="s">
        <v>1078</v>
      </c>
      <c r="M482" s="6" t="n">
        <v>1</v>
      </c>
      <c r="N482" s="7" t="s">
        <v>24</v>
      </c>
    </row>
    <row r="483" customFormat="false" ht="15" hidden="false" customHeight="false" outlineLevel="0" collapsed="false">
      <c r="A483" s="6" t="n">
        <v>482</v>
      </c>
      <c r="B483" s="7" t="s">
        <v>644</v>
      </c>
      <c r="C483" s="7" t="s">
        <v>1074</v>
      </c>
      <c r="D483" s="8" t="s">
        <v>1079</v>
      </c>
      <c r="E483" s="7" t="s">
        <v>1080</v>
      </c>
      <c r="F483" s="6" t="s">
        <v>476</v>
      </c>
      <c r="G483" s="7" t="s">
        <v>43</v>
      </c>
      <c r="H483" s="7" t="s">
        <v>20</v>
      </c>
      <c r="I483" s="7" t="s">
        <v>595</v>
      </c>
      <c r="J483" s="6" t="s">
        <v>528</v>
      </c>
      <c r="K483" s="6" t="n">
        <v>12</v>
      </c>
      <c r="L483" s="7" t="s">
        <v>1078</v>
      </c>
      <c r="M483" s="6" t="n">
        <v>2</v>
      </c>
      <c r="N483" s="7" t="s">
        <v>24</v>
      </c>
    </row>
    <row r="484" customFormat="false" ht="29.85" hidden="false" customHeight="false" outlineLevel="0" collapsed="false">
      <c r="A484" s="6" t="n">
        <v>483</v>
      </c>
      <c r="B484" s="7" t="s">
        <v>644</v>
      </c>
      <c r="C484" s="7" t="s">
        <v>1074</v>
      </c>
      <c r="D484" s="8" t="s">
        <v>1081</v>
      </c>
      <c r="E484" s="7" t="s">
        <v>1082</v>
      </c>
      <c r="F484" s="6" t="s">
        <v>476</v>
      </c>
      <c r="G484" s="7" t="s">
        <v>43</v>
      </c>
      <c r="H484" s="7" t="s">
        <v>20</v>
      </c>
      <c r="I484" s="7" t="s">
        <v>254</v>
      </c>
      <c r="J484" s="6" t="s">
        <v>528</v>
      </c>
      <c r="K484" s="6" t="n">
        <v>12</v>
      </c>
      <c r="L484" s="7" t="s">
        <v>1078</v>
      </c>
      <c r="M484" s="6" t="n">
        <v>3</v>
      </c>
      <c r="N484" s="7" t="s">
        <v>24</v>
      </c>
    </row>
    <row r="485" customFormat="false" ht="29.85" hidden="false" customHeight="false" outlineLevel="0" collapsed="false">
      <c r="A485" s="6" t="n">
        <v>484</v>
      </c>
      <c r="B485" s="7" t="s">
        <v>644</v>
      </c>
      <c r="C485" s="7" t="s">
        <v>1074</v>
      </c>
      <c r="D485" s="8" t="s">
        <v>1083</v>
      </c>
      <c r="E485" s="7" t="s">
        <v>1084</v>
      </c>
      <c r="F485" s="6" t="s">
        <v>476</v>
      </c>
      <c r="G485" s="7" t="s">
        <v>43</v>
      </c>
      <c r="H485" s="7" t="s">
        <v>20</v>
      </c>
      <c r="I485" s="7" t="s">
        <v>76</v>
      </c>
      <c r="J485" s="6" t="s">
        <v>528</v>
      </c>
      <c r="K485" s="6" t="n">
        <v>12</v>
      </c>
      <c r="L485" s="7" t="s">
        <v>1078</v>
      </c>
      <c r="M485" s="6" t="n">
        <v>4</v>
      </c>
      <c r="N485" s="7" t="s">
        <v>24</v>
      </c>
    </row>
    <row r="486" customFormat="false" ht="15" hidden="false" customHeight="false" outlineLevel="0" collapsed="false">
      <c r="A486" s="6" t="n">
        <v>485</v>
      </c>
      <c r="B486" s="7" t="s">
        <v>644</v>
      </c>
      <c r="C486" s="7" t="s">
        <v>1074</v>
      </c>
      <c r="D486" s="8" t="s">
        <v>1085</v>
      </c>
      <c r="E486" s="7" t="s">
        <v>1086</v>
      </c>
      <c r="F486" s="6" t="s">
        <v>82</v>
      </c>
      <c r="G486" s="7" t="s">
        <v>27</v>
      </c>
      <c r="H486" s="7" t="s">
        <v>38</v>
      </c>
      <c r="I486" s="7" t="s">
        <v>108</v>
      </c>
      <c r="J486" s="6" t="s">
        <v>528</v>
      </c>
      <c r="K486" s="6" t="n">
        <v>12</v>
      </c>
      <c r="L486" s="7" t="s">
        <v>1078</v>
      </c>
      <c r="M486" s="6" t="n">
        <v>5</v>
      </c>
      <c r="N486" s="7" t="s">
        <v>40</v>
      </c>
    </row>
    <row r="487" customFormat="false" ht="29.85" hidden="false" customHeight="false" outlineLevel="0" collapsed="false">
      <c r="A487" s="6" t="n">
        <v>486</v>
      </c>
      <c r="B487" s="7" t="s">
        <v>644</v>
      </c>
      <c r="C487" s="7" t="s">
        <v>1074</v>
      </c>
      <c r="D487" s="8" t="s">
        <v>1087</v>
      </c>
      <c r="E487" s="7" t="s">
        <v>1088</v>
      </c>
      <c r="F487" s="6" t="s">
        <v>476</v>
      </c>
      <c r="G487" s="7" t="s">
        <v>43</v>
      </c>
      <c r="H487" s="7" t="s">
        <v>20</v>
      </c>
      <c r="I487" s="7" t="s">
        <v>88</v>
      </c>
      <c r="J487" s="6" t="s">
        <v>528</v>
      </c>
      <c r="K487" s="6" t="n">
        <v>12</v>
      </c>
      <c r="L487" s="7" t="s">
        <v>1078</v>
      </c>
      <c r="M487" s="6" t="n">
        <v>6</v>
      </c>
      <c r="N487" s="7" t="s">
        <v>24</v>
      </c>
    </row>
    <row r="488" customFormat="false" ht="29.85" hidden="false" customHeight="false" outlineLevel="0" collapsed="false">
      <c r="A488" s="6" t="n">
        <v>487</v>
      </c>
      <c r="B488" s="7" t="s">
        <v>644</v>
      </c>
      <c r="C488" s="7" t="s">
        <v>1074</v>
      </c>
      <c r="D488" s="8" t="s">
        <v>1089</v>
      </c>
      <c r="E488" s="7" t="s">
        <v>1090</v>
      </c>
      <c r="F488" s="6" t="s">
        <v>476</v>
      </c>
      <c r="G488" s="7" t="s">
        <v>43</v>
      </c>
      <c r="H488" s="7" t="s">
        <v>20</v>
      </c>
      <c r="I488" s="7" t="s">
        <v>98</v>
      </c>
      <c r="J488" s="6" t="s">
        <v>528</v>
      </c>
      <c r="K488" s="6" t="n">
        <v>12</v>
      </c>
      <c r="L488" s="7" t="s">
        <v>1078</v>
      </c>
      <c r="M488" s="6" t="n">
        <v>7</v>
      </c>
      <c r="N488" s="7" t="s">
        <v>24</v>
      </c>
    </row>
    <row r="489" customFormat="false" ht="29.85" hidden="false" customHeight="false" outlineLevel="0" collapsed="false">
      <c r="A489" s="6" t="n">
        <v>488</v>
      </c>
      <c r="B489" s="7" t="s">
        <v>644</v>
      </c>
      <c r="C489" s="7" t="s">
        <v>1074</v>
      </c>
      <c r="D489" s="8" t="s">
        <v>1091</v>
      </c>
      <c r="E489" s="7" t="s">
        <v>1092</v>
      </c>
      <c r="F489" s="6" t="s">
        <v>476</v>
      </c>
      <c r="G489" s="7" t="s">
        <v>43</v>
      </c>
      <c r="H489" s="7" t="s">
        <v>20</v>
      </c>
      <c r="I489" s="7" t="s">
        <v>51</v>
      </c>
      <c r="J489" s="6" t="s">
        <v>528</v>
      </c>
      <c r="K489" s="6" t="n">
        <v>12</v>
      </c>
      <c r="L489" s="7" t="s">
        <v>1078</v>
      </c>
      <c r="M489" s="6" t="n">
        <v>8</v>
      </c>
      <c r="N489" s="7" t="s">
        <v>24</v>
      </c>
    </row>
    <row r="490" customFormat="false" ht="29.85" hidden="false" customHeight="false" outlineLevel="0" collapsed="false">
      <c r="A490" s="6" t="n">
        <v>489</v>
      </c>
      <c r="B490" s="7" t="s">
        <v>644</v>
      </c>
      <c r="C490" s="7" t="s">
        <v>1074</v>
      </c>
      <c r="D490" s="8" t="s">
        <v>1093</v>
      </c>
      <c r="E490" s="7" t="s">
        <v>1080</v>
      </c>
      <c r="F490" s="6" t="s">
        <v>476</v>
      </c>
      <c r="G490" s="7" t="s">
        <v>43</v>
      </c>
      <c r="H490" s="7" t="s">
        <v>20</v>
      </c>
      <c r="I490" s="7" t="s">
        <v>51</v>
      </c>
      <c r="J490" s="6" t="s">
        <v>528</v>
      </c>
      <c r="K490" s="6" t="n">
        <v>12</v>
      </c>
      <c r="L490" s="7" t="s">
        <v>1078</v>
      </c>
      <c r="M490" s="6" t="n">
        <v>9</v>
      </c>
      <c r="N490" s="7" t="s">
        <v>24</v>
      </c>
    </row>
    <row r="491" customFormat="false" ht="15" hidden="false" customHeight="false" outlineLevel="0" collapsed="false">
      <c r="A491" s="6" t="n">
        <v>490</v>
      </c>
      <c r="B491" s="7" t="s">
        <v>644</v>
      </c>
      <c r="C491" s="7" t="s">
        <v>1074</v>
      </c>
      <c r="D491" s="8" t="s">
        <v>1094</v>
      </c>
      <c r="E491" s="7" t="s">
        <v>1095</v>
      </c>
      <c r="F491" s="6" t="s">
        <v>82</v>
      </c>
      <c r="G491" s="7" t="s">
        <v>27</v>
      </c>
      <c r="H491" s="7" t="s">
        <v>38</v>
      </c>
      <c r="I491" s="7" t="s">
        <v>1096</v>
      </c>
      <c r="J491" s="6" t="s">
        <v>528</v>
      </c>
      <c r="K491" s="6" t="n">
        <v>12</v>
      </c>
      <c r="L491" s="7" t="s">
        <v>1078</v>
      </c>
      <c r="M491" s="6" t="n">
        <v>10</v>
      </c>
      <c r="N491" s="7" t="s">
        <v>40</v>
      </c>
    </row>
    <row r="492" customFormat="false" ht="29.85" hidden="false" customHeight="false" outlineLevel="0" collapsed="false">
      <c r="A492" s="6" t="n">
        <v>491</v>
      </c>
      <c r="B492" s="7" t="s">
        <v>644</v>
      </c>
      <c r="C492" s="7" t="s">
        <v>1074</v>
      </c>
      <c r="D492" s="8" t="s">
        <v>1097</v>
      </c>
      <c r="E492" s="7" t="s">
        <v>1098</v>
      </c>
      <c r="F492" s="6" t="s">
        <v>476</v>
      </c>
      <c r="G492" s="7" t="s">
        <v>43</v>
      </c>
      <c r="H492" s="7" t="s">
        <v>20</v>
      </c>
      <c r="I492" s="7" t="s">
        <v>114</v>
      </c>
      <c r="J492" s="6" t="s">
        <v>528</v>
      </c>
      <c r="K492" s="6" t="n">
        <v>12</v>
      </c>
      <c r="L492" s="7" t="s">
        <v>1078</v>
      </c>
      <c r="M492" s="6" t="n">
        <v>11</v>
      </c>
      <c r="N492" s="7" t="s">
        <v>24</v>
      </c>
    </row>
    <row r="493" customFormat="false" ht="29.85" hidden="false" customHeight="false" outlineLevel="0" collapsed="false">
      <c r="A493" s="6" t="n">
        <v>492</v>
      </c>
      <c r="B493" s="7" t="s">
        <v>644</v>
      </c>
      <c r="C493" s="7" t="s">
        <v>1074</v>
      </c>
      <c r="D493" s="8" t="s">
        <v>1099</v>
      </c>
      <c r="E493" s="7" t="s">
        <v>1100</v>
      </c>
      <c r="F493" s="6" t="s">
        <v>476</v>
      </c>
      <c r="G493" s="7" t="s">
        <v>43</v>
      </c>
      <c r="H493" s="7" t="s">
        <v>20</v>
      </c>
      <c r="I493" s="7" t="s">
        <v>117</v>
      </c>
      <c r="J493" s="6" t="s">
        <v>528</v>
      </c>
      <c r="K493" s="6" t="n">
        <v>12</v>
      </c>
      <c r="L493" s="7" t="s">
        <v>1078</v>
      </c>
      <c r="M493" s="6" t="n">
        <v>12</v>
      </c>
      <c r="N493" s="7" t="s">
        <v>24</v>
      </c>
    </row>
    <row r="494" customFormat="false" ht="15" hidden="false" customHeight="false" outlineLevel="0" collapsed="false">
      <c r="A494" s="6" t="n">
        <v>493</v>
      </c>
      <c r="B494" s="7" t="s">
        <v>644</v>
      </c>
      <c r="C494" s="7" t="s">
        <v>1074</v>
      </c>
      <c r="D494" s="8" t="s">
        <v>1101</v>
      </c>
      <c r="E494" s="7" t="s">
        <v>1102</v>
      </c>
      <c r="F494" s="6" t="s">
        <v>37</v>
      </c>
      <c r="G494" s="7" t="s">
        <v>27</v>
      </c>
      <c r="H494" s="7" t="s">
        <v>38</v>
      </c>
      <c r="I494" s="7" t="s">
        <v>120</v>
      </c>
      <c r="J494" s="6" t="s">
        <v>528</v>
      </c>
      <c r="K494" s="6" t="n">
        <v>12</v>
      </c>
      <c r="L494" s="7" t="s">
        <v>1078</v>
      </c>
      <c r="M494" s="6" t="n">
        <v>13</v>
      </c>
      <c r="N494" s="7" t="s">
        <v>40</v>
      </c>
    </row>
    <row r="495" customFormat="false" ht="29.85" hidden="false" customHeight="false" outlineLevel="0" collapsed="false">
      <c r="A495" s="6" t="n">
        <v>494</v>
      </c>
      <c r="B495" s="7" t="s">
        <v>644</v>
      </c>
      <c r="C495" s="7" t="s">
        <v>1074</v>
      </c>
      <c r="D495" s="8" t="s">
        <v>1103</v>
      </c>
      <c r="E495" s="7" t="s">
        <v>1076</v>
      </c>
      <c r="F495" s="6" t="s">
        <v>476</v>
      </c>
      <c r="G495" s="7" t="s">
        <v>43</v>
      </c>
      <c r="H495" s="7" t="s">
        <v>38</v>
      </c>
      <c r="I495" s="7" t="s">
        <v>1104</v>
      </c>
      <c r="J495" s="6" t="s">
        <v>528</v>
      </c>
      <c r="K495" s="6" t="n">
        <v>12</v>
      </c>
      <c r="L495" s="7" t="s">
        <v>1078</v>
      </c>
      <c r="M495" s="6" t="n">
        <v>14</v>
      </c>
      <c r="N495" s="7" t="s">
        <v>40</v>
      </c>
    </row>
    <row r="496" customFormat="false" ht="29.85" hidden="false" customHeight="false" outlineLevel="0" collapsed="false">
      <c r="A496" s="6" t="n">
        <v>495</v>
      </c>
      <c r="B496" s="7" t="s">
        <v>644</v>
      </c>
      <c r="C496" s="7" t="s">
        <v>1074</v>
      </c>
      <c r="D496" s="9" t="s">
        <v>1105</v>
      </c>
      <c r="E496" s="7" t="s">
        <v>1106</v>
      </c>
      <c r="F496" s="6" t="s">
        <v>476</v>
      </c>
      <c r="G496" s="7" t="s">
        <v>43</v>
      </c>
      <c r="H496" s="7" t="s">
        <v>38</v>
      </c>
      <c r="I496" s="7" t="s">
        <v>292</v>
      </c>
      <c r="J496" s="6" t="s">
        <v>528</v>
      </c>
      <c r="K496" s="6" t="n">
        <v>12</v>
      </c>
      <c r="L496" s="7" t="s">
        <v>1078</v>
      </c>
      <c r="M496" s="6" t="n">
        <v>15</v>
      </c>
      <c r="N496" s="7" t="s">
        <v>40</v>
      </c>
    </row>
    <row r="497" customFormat="false" ht="29.85" hidden="false" customHeight="false" outlineLevel="0" collapsed="false">
      <c r="A497" s="6" t="n">
        <v>496</v>
      </c>
      <c r="B497" s="7" t="s">
        <v>644</v>
      </c>
      <c r="C497" s="7" t="s">
        <v>1074</v>
      </c>
      <c r="D497" s="8" t="s">
        <v>1107</v>
      </c>
      <c r="E497" s="7" t="s">
        <v>1108</v>
      </c>
      <c r="F497" s="6" t="s">
        <v>476</v>
      </c>
      <c r="G497" s="7" t="s">
        <v>43</v>
      </c>
      <c r="H497" s="7" t="s">
        <v>38</v>
      </c>
      <c r="I497" s="7" t="s">
        <v>375</v>
      </c>
      <c r="J497" s="6" t="s">
        <v>528</v>
      </c>
      <c r="K497" s="6" t="n">
        <v>12</v>
      </c>
      <c r="L497" s="7" t="s">
        <v>1078</v>
      </c>
      <c r="M497" s="6" t="n">
        <v>16</v>
      </c>
      <c r="N497" s="7" t="s">
        <v>40</v>
      </c>
    </row>
    <row r="498" customFormat="false" ht="29.85" hidden="false" customHeight="false" outlineLevel="0" collapsed="false">
      <c r="A498" s="6" t="n">
        <v>497</v>
      </c>
      <c r="B498" s="7" t="s">
        <v>644</v>
      </c>
      <c r="C498" s="7" t="s">
        <v>1074</v>
      </c>
      <c r="D498" s="8" t="s">
        <v>1109</v>
      </c>
      <c r="E498" s="7" t="s">
        <v>1110</v>
      </c>
      <c r="F498" s="6" t="s">
        <v>476</v>
      </c>
      <c r="G498" s="7" t="s">
        <v>43</v>
      </c>
      <c r="H498" s="7" t="s">
        <v>38</v>
      </c>
      <c r="I498" s="7" t="s">
        <v>1111</v>
      </c>
      <c r="J498" s="6" t="s">
        <v>528</v>
      </c>
      <c r="K498" s="6" t="n">
        <v>12</v>
      </c>
      <c r="L498" s="7" t="s">
        <v>1078</v>
      </c>
      <c r="M498" s="6" t="n">
        <v>17</v>
      </c>
      <c r="N498" s="7" t="s">
        <v>40</v>
      </c>
    </row>
    <row r="499" customFormat="false" ht="29.85" hidden="false" customHeight="false" outlineLevel="0" collapsed="false">
      <c r="A499" s="6" t="n">
        <v>498</v>
      </c>
      <c r="B499" s="7" t="s">
        <v>644</v>
      </c>
      <c r="C499" s="7" t="s">
        <v>1074</v>
      </c>
      <c r="D499" s="8" t="s">
        <v>1112</v>
      </c>
      <c r="E499" s="7" t="s">
        <v>1082</v>
      </c>
      <c r="F499" s="6" t="s">
        <v>476</v>
      </c>
      <c r="G499" s="7" t="s">
        <v>43</v>
      </c>
      <c r="H499" s="7" t="s">
        <v>38</v>
      </c>
      <c r="I499" s="7" t="s">
        <v>53</v>
      </c>
      <c r="J499" s="6" t="s">
        <v>528</v>
      </c>
      <c r="K499" s="6" t="n">
        <v>12</v>
      </c>
      <c r="L499" s="7" t="s">
        <v>1078</v>
      </c>
      <c r="M499" s="6" t="n">
        <v>18</v>
      </c>
      <c r="N499" s="7" t="s">
        <v>40</v>
      </c>
    </row>
    <row r="500" customFormat="false" ht="29.85" hidden="false" customHeight="false" outlineLevel="0" collapsed="false">
      <c r="A500" s="6" t="n">
        <v>499</v>
      </c>
      <c r="B500" s="7" t="s">
        <v>644</v>
      </c>
      <c r="C500" s="7" t="s">
        <v>1074</v>
      </c>
      <c r="D500" s="8" t="s">
        <v>1113</v>
      </c>
      <c r="E500" s="7" t="s">
        <v>1114</v>
      </c>
      <c r="F500" s="6" t="s">
        <v>476</v>
      </c>
      <c r="G500" s="7" t="s">
        <v>43</v>
      </c>
      <c r="H500" s="7" t="s">
        <v>38</v>
      </c>
      <c r="I500" s="7" t="s">
        <v>163</v>
      </c>
      <c r="J500" s="6" t="s">
        <v>528</v>
      </c>
      <c r="K500" s="6" t="n">
        <v>12</v>
      </c>
      <c r="L500" s="7" t="s">
        <v>1078</v>
      </c>
      <c r="M500" s="6" t="n">
        <v>19</v>
      </c>
      <c r="N500" s="7" t="s">
        <v>40</v>
      </c>
    </row>
    <row r="501" customFormat="false" ht="29.85" hidden="false" customHeight="false" outlineLevel="0" collapsed="false">
      <c r="A501" s="6" t="n">
        <v>500</v>
      </c>
      <c r="B501" s="7" t="s">
        <v>644</v>
      </c>
      <c r="C501" s="7" t="s">
        <v>1074</v>
      </c>
      <c r="D501" s="8" t="s">
        <v>1115</v>
      </c>
      <c r="E501" s="7" t="s">
        <v>1116</v>
      </c>
      <c r="F501" s="6" t="s">
        <v>476</v>
      </c>
      <c r="G501" s="7" t="s">
        <v>43</v>
      </c>
      <c r="H501" s="7" t="s">
        <v>38</v>
      </c>
      <c r="I501" s="7" t="s">
        <v>312</v>
      </c>
      <c r="J501" s="6" t="s">
        <v>528</v>
      </c>
      <c r="K501" s="6" t="n">
        <v>12</v>
      </c>
      <c r="L501" s="7" t="s">
        <v>1078</v>
      </c>
      <c r="M501" s="6" t="n">
        <v>20</v>
      </c>
      <c r="N501" s="7" t="s">
        <v>40</v>
      </c>
    </row>
    <row r="502" customFormat="false" ht="29.85" hidden="false" customHeight="false" outlineLevel="0" collapsed="false">
      <c r="A502" s="6" t="n">
        <v>501</v>
      </c>
      <c r="B502" s="7" t="s">
        <v>644</v>
      </c>
      <c r="C502" s="7" t="s">
        <v>1074</v>
      </c>
      <c r="D502" s="8" t="s">
        <v>1117</v>
      </c>
      <c r="E502" s="7" t="s">
        <v>1118</v>
      </c>
      <c r="F502" s="6" t="s">
        <v>476</v>
      </c>
      <c r="G502" s="7" t="s">
        <v>43</v>
      </c>
      <c r="H502" s="7" t="s">
        <v>38</v>
      </c>
      <c r="I502" s="7" t="s">
        <v>1119</v>
      </c>
      <c r="J502" s="6" t="s">
        <v>528</v>
      </c>
      <c r="K502" s="6" t="n">
        <v>12</v>
      </c>
      <c r="L502" s="7" t="s">
        <v>1078</v>
      </c>
      <c r="M502" s="6" t="n">
        <v>21</v>
      </c>
      <c r="N502" s="7" t="s">
        <v>40</v>
      </c>
    </row>
    <row r="503" customFormat="false" ht="29.85" hidden="false" customHeight="false" outlineLevel="0" collapsed="false">
      <c r="A503" s="6" t="n">
        <v>502</v>
      </c>
      <c r="B503" s="7" t="s">
        <v>644</v>
      </c>
      <c r="C503" s="7" t="s">
        <v>1074</v>
      </c>
      <c r="D503" s="8" t="s">
        <v>1120</v>
      </c>
      <c r="E503" s="7" t="s">
        <v>1121</v>
      </c>
      <c r="F503" s="6" t="s">
        <v>476</v>
      </c>
      <c r="G503" s="7" t="s">
        <v>43</v>
      </c>
      <c r="H503" s="7" t="s">
        <v>38</v>
      </c>
      <c r="I503" s="7" t="s">
        <v>904</v>
      </c>
      <c r="J503" s="6" t="s">
        <v>528</v>
      </c>
      <c r="K503" s="6" t="n">
        <v>12</v>
      </c>
      <c r="L503" s="7" t="s">
        <v>1078</v>
      </c>
      <c r="M503" s="6" t="n">
        <v>22</v>
      </c>
      <c r="N503" s="7" t="s">
        <v>40</v>
      </c>
    </row>
    <row r="504" customFormat="false" ht="29.85" hidden="false" customHeight="false" outlineLevel="0" collapsed="false">
      <c r="A504" s="6" t="n">
        <v>503</v>
      </c>
      <c r="B504" s="7" t="s">
        <v>644</v>
      </c>
      <c r="C504" s="7" t="s">
        <v>1074</v>
      </c>
      <c r="D504" s="8" t="s">
        <v>1122</v>
      </c>
      <c r="E504" s="7" t="s">
        <v>1123</v>
      </c>
      <c r="F504" s="6" t="s">
        <v>476</v>
      </c>
      <c r="G504" s="7" t="s">
        <v>43</v>
      </c>
      <c r="H504" s="7" t="s">
        <v>38</v>
      </c>
      <c r="I504" s="7" t="s">
        <v>1124</v>
      </c>
      <c r="J504" s="6" t="s">
        <v>528</v>
      </c>
      <c r="K504" s="6" t="n">
        <v>12</v>
      </c>
      <c r="L504" s="7" t="s">
        <v>1078</v>
      </c>
      <c r="M504" s="6" t="n">
        <v>23</v>
      </c>
      <c r="N504" s="7" t="s">
        <v>40</v>
      </c>
    </row>
    <row r="505" customFormat="false" ht="44" hidden="false" customHeight="false" outlineLevel="0" collapsed="false">
      <c r="A505" s="6" t="n">
        <v>504</v>
      </c>
      <c r="B505" s="7" t="s">
        <v>644</v>
      </c>
      <c r="C505" s="7" t="s">
        <v>1074</v>
      </c>
      <c r="D505" s="8" t="s">
        <v>1125</v>
      </c>
      <c r="E505" s="7" t="s">
        <v>1108</v>
      </c>
      <c r="F505" s="6" t="s">
        <v>476</v>
      </c>
      <c r="G505" s="7" t="s">
        <v>43</v>
      </c>
      <c r="H505" s="7" t="s">
        <v>38</v>
      </c>
      <c r="I505" s="7" t="s">
        <v>322</v>
      </c>
      <c r="J505" s="6" t="s">
        <v>528</v>
      </c>
      <c r="K505" s="6" t="n">
        <v>12</v>
      </c>
      <c r="L505" s="7" t="s">
        <v>1078</v>
      </c>
      <c r="M505" s="6" t="n">
        <v>24</v>
      </c>
      <c r="N505" s="7" t="s">
        <v>40</v>
      </c>
    </row>
    <row r="506" customFormat="false" ht="44" hidden="false" customHeight="false" outlineLevel="0" collapsed="false">
      <c r="A506" s="6" t="n">
        <v>505</v>
      </c>
      <c r="B506" s="7" t="s">
        <v>644</v>
      </c>
      <c r="C506" s="7" t="s">
        <v>1074</v>
      </c>
      <c r="D506" s="8" t="s">
        <v>1126</v>
      </c>
      <c r="E506" s="7" t="s">
        <v>1127</v>
      </c>
      <c r="F506" s="6" t="s">
        <v>476</v>
      </c>
      <c r="G506" s="7" t="s">
        <v>43</v>
      </c>
      <c r="H506" s="7" t="s">
        <v>38</v>
      </c>
      <c r="I506" s="7" t="s">
        <v>1128</v>
      </c>
      <c r="J506" s="6" t="s">
        <v>528</v>
      </c>
      <c r="K506" s="6" t="n">
        <v>12</v>
      </c>
      <c r="L506" s="7" t="s">
        <v>1078</v>
      </c>
      <c r="M506" s="6" t="n">
        <v>25</v>
      </c>
      <c r="N506" s="7" t="s">
        <v>40</v>
      </c>
    </row>
    <row r="507" customFormat="false" ht="44" hidden="false" customHeight="false" outlineLevel="0" collapsed="false">
      <c r="A507" s="6" t="n">
        <v>506</v>
      </c>
      <c r="B507" s="7" t="s">
        <v>644</v>
      </c>
      <c r="C507" s="7" t="s">
        <v>1074</v>
      </c>
      <c r="D507" s="8" t="s">
        <v>1129</v>
      </c>
      <c r="E507" s="7" t="s">
        <v>1130</v>
      </c>
      <c r="F507" s="6" t="s">
        <v>476</v>
      </c>
      <c r="G507" s="7" t="s">
        <v>43</v>
      </c>
      <c r="H507" s="7" t="s">
        <v>38</v>
      </c>
      <c r="I507" s="7" t="s">
        <v>1131</v>
      </c>
      <c r="J507" s="6" t="s">
        <v>528</v>
      </c>
      <c r="K507" s="6" t="n">
        <v>12</v>
      </c>
      <c r="L507" s="7" t="s">
        <v>1078</v>
      </c>
      <c r="M507" s="6" t="n">
        <v>26</v>
      </c>
      <c r="N507" s="7" t="s">
        <v>40</v>
      </c>
    </row>
    <row r="508" customFormat="false" ht="44" hidden="false" customHeight="false" outlineLevel="0" collapsed="false">
      <c r="A508" s="6" t="n">
        <v>507</v>
      </c>
      <c r="B508" s="7" t="s">
        <v>644</v>
      </c>
      <c r="C508" s="7" t="s">
        <v>1074</v>
      </c>
      <c r="D508" s="8" t="s">
        <v>1132</v>
      </c>
      <c r="E508" s="7" t="s">
        <v>1133</v>
      </c>
      <c r="F508" s="6" t="s">
        <v>476</v>
      </c>
      <c r="G508" s="7" t="s">
        <v>43</v>
      </c>
      <c r="H508" s="7" t="s">
        <v>38</v>
      </c>
      <c r="I508" s="7" t="s">
        <v>1134</v>
      </c>
      <c r="J508" s="6" t="s">
        <v>528</v>
      </c>
      <c r="K508" s="6" t="n">
        <v>12</v>
      </c>
      <c r="L508" s="7" t="s">
        <v>1078</v>
      </c>
      <c r="M508" s="6" t="n">
        <v>27</v>
      </c>
      <c r="N508" s="7" t="s">
        <v>40</v>
      </c>
    </row>
    <row r="509" customFormat="false" ht="44" hidden="false" customHeight="false" outlineLevel="0" collapsed="false">
      <c r="A509" s="6" t="n">
        <v>508</v>
      </c>
      <c r="B509" s="7" t="s">
        <v>644</v>
      </c>
      <c r="C509" s="7" t="s">
        <v>1074</v>
      </c>
      <c r="D509" s="8" t="s">
        <v>1135</v>
      </c>
      <c r="E509" s="7" t="s">
        <v>1136</v>
      </c>
      <c r="F509" s="6" t="s">
        <v>476</v>
      </c>
      <c r="G509" s="7" t="s">
        <v>43</v>
      </c>
      <c r="H509" s="7" t="s">
        <v>38</v>
      </c>
      <c r="I509" s="7" t="s">
        <v>1137</v>
      </c>
      <c r="J509" s="6" t="s">
        <v>528</v>
      </c>
      <c r="K509" s="6" t="n">
        <v>12</v>
      </c>
      <c r="L509" s="7" t="s">
        <v>1078</v>
      </c>
      <c r="M509" s="6" t="n">
        <v>28</v>
      </c>
      <c r="N509" s="7" t="s">
        <v>40</v>
      </c>
    </row>
    <row r="510" customFormat="false" ht="58.2" hidden="false" customHeight="false" outlineLevel="0" collapsed="false">
      <c r="A510" s="6" t="n">
        <v>509</v>
      </c>
      <c r="B510" s="7" t="s">
        <v>644</v>
      </c>
      <c r="C510" s="7" t="s">
        <v>1074</v>
      </c>
      <c r="D510" s="8" t="s">
        <v>1138</v>
      </c>
      <c r="E510" s="7" t="s">
        <v>1139</v>
      </c>
      <c r="F510" s="6" t="s">
        <v>476</v>
      </c>
      <c r="G510" s="7" t="s">
        <v>43</v>
      </c>
      <c r="H510" s="7" t="s">
        <v>38</v>
      </c>
      <c r="I510" s="7" t="s">
        <v>1140</v>
      </c>
      <c r="J510" s="6" t="s">
        <v>528</v>
      </c>
      <c r="K510" s="6" t="n">
        <v>12</v>
      </c>
      <c r="L510" s="7" t="s">
        <v>1078</v>
      </c>
      <c r="M510" s="6" t="n">
        <v>29</v>
      </c>
      <c r="N510" s="7" t="s">
        <v>40</v>
      </c>
    </row>
    <row r="511" customFormat="false" ht="15" hidden="false" customHeight="false" outlineLevel="0" collapsed="false">
      <c r="A511" s="6" t="n">
        <v>510</v>
      </c>
      <c r="B511" s="7" t="s">
        <v>644</v>
      </c>
      <c r="C511" s="7" t="s">
        <v>1141</v>
      </c>
      <c r="D511" s="8" t="s">
        <v>1142</v>
      </c>
      <c r="E511" s="7" t="s">
        <v>1118</v>
      </c>
      <c r="F511" s="6" t="s">
        <v>476</v>
      </c>
      <c r="G511" s="7" t="s">
        <v>43</v>
      </c>
      <c r="H511" s="7" t="s">
        <v>20</v>
      </c>
      <c r="I511" s="7" t="s">
        <v>742</v>
      </c>
      <c r="J511" s="6" t="s">
        <v>528</v>
      </c>
      <c r="K511" s="6" t="n">
        <v>13</v>
      </c>
      <c r="L511" s="7" t="s">
        <v>1143</v>
      </c>
      <c r="M511" s="6" t="n">
        <v>1</v>
      </c>
      <c r="N511" s="7" t="s">
        <v>24</v>
      </c>
    </row>
    <row r="512" customFormat="false" ht="15" hidden="false" customHeight="false" outlineLevel="0" collapsed="false">
      <c r="A512" s="6" t="n">
        <v>511</v>
      </c>
      <c r="B512" s="7" t="s">
        <v>644</v>
      </c>
      <c r="C512" s="7" t="s">
        <v>1141</v>
      </c>
      <c r="D512" s="8" t="s">
        <v>1144</v>
      </c>
      <c r="E512" s="7" t="s">
        <v>1145</v>
      </c>
      <c r="F512" s="6" t="s">
        <v>476</v>
      </c>
      <c r="G512" s="7" t="s">
        <v>43</v>
      </c>
      <c r="H512" s="7" t="s">
        <v>20</v>
      </c>
      <c r="I512" s="7" t="s">
        <v>183</v>
      </c>
      <c r="J512" s="6" t="s">
        <v>528</v>
      </c>
      <c r="K512" s="6" t="n">
        <v>13</v>
      </c>
      <c r="L512" s="7" t="s">
        <v>1143</v>
      </c>
      <c r="M512" s="6" t="n">
        <v>2</v>
      </c>
      <c r="N512" s="7" t="s">
        <v>24</v>
      </c>
    </row>
    <row r="513" customFormat="false" ht="15" hidden="false" customHeight="false" outlineLevel="0" collapsed="false">
      <c r="A513" s="6" t="n">
        <v>512</v>
      </c>
      <c r="B513" s="7" t="s">
        <v>644</v>
      </c>
      <c r="C513" s="7" t="s">
        <v>1141</v>
      </c>
      <c r="D513" s="8" t="s">
        <v>1146</v>
      </c>
      <c r="E513" s="7" t="s">
        <v>1147</v>
      </c>
      <c r="F513" s="6" t="s">
        <v>476</v>
      </c>
      <c r="G513" s="7" t="s">
        <v>43</v>
      </c>
      <c r="H513" s="7" t="s">
        <v>20</v>
      </c>
      <c r="I513" s="7" t="s">
        <v>243</v>
      </c>
      <c r="J513" s="6" t="s">
        <v>528</v>
      </c>
      <c r="K513" s="6" t="n">
        <v>13</v>
      </c>
      <c r="L513" s="7" t="s">
        <v>1143</v>
      </c>
      <c r="M513" s="6" t="n">
        <v>3</v>
      </c>
      <c r="N513" s="7" t="s">
        <v>24</v>
      </c>
    </row>
    <row r="514" customFormat="false" ht="29.85" hidden="false" customHeight="false" outlineLevel="0" collapsed="false">
      <c r="A514" s="6" t="n">
        <v>513</v>
      </c>
      <c r="B514" s="7" t="s">
        <v>644</v>
      </c>
      <c r="C514" s="7" t="s">
        <v>1141</v>
      </c>
      <c r="D514" s="8" t="s">
        <v>1148</v>
      </c>
      <c r="E514" s="7" t="s">
        <v>1149</v>
      </c>
      <c r="F514" s="6" t="s">
        <v>476</v>
      </c>
      <c r="G514" s="7" t="s">
        <v>43</v>
      </c>
      <c r="H514" s="7" t="s">
        <v>20</v>
      </c>
      <c r="I514" s="7" t="s">
        <v>98</v>
      </c>
      <c r="J514" s="6" t="s">
        <v>528</v>
      </c>
      <c r="K514" s="6" t="n">
        <v>13</v>
      </c>
      <c r="L514" s="7" t="s">
        <v>1143</v>
      </c>
      <c r="M514" s="6" t="n">
        <v>4</v>
      </c>
      <c r="N514" s="7" t="s">
        <v>24</v>
      </c>
    </row>
    <row r="515" customFormat="false" ht="15" hidden="false" customHeight="false" outlineLevel="0" collapsed="false">
      <c r="A515" s="6" t="n">
        <v>514</v>
      </c>
      <c r="B515" s="7" t="s">
        <v>644</v>
      </c>
      <c r="C515" s="7" t="s">
        <v>1141</v>
      </c>
      <c r="D515" s="8" t="s">
        <v>1150</v>
      </c>
      <c r="E515" s="7" t="s">
        <v>1151</v>
      </c>
      <c r="F515" s="6" t="s">
        <v>37</v>
      </c>
      <c r="G515" s="7" t="s">
        <v>27</v>
      </c>
      <c r="H515" s="7" t="s">
        <v>38</v>
      </c>
      <c r="I515" s="7" t="s">
        <v>1152</v>
      </c>
      <c r="J515" s="6" t="s">
        <v>528</v>
      </c>
      <c r="K515" s="6" t="n">
        <v>13</v>
      </c>
      <c r="L515" s="7" t="s">
        <v>1143</v>
      </c>
      <c r="M515" s="6" t="n">
        <v>5</v>
      </c>
      <c r="N515" s="7" t="s">
        <v>40</v>
      </c>
    </row>
    <row r="516" customFormat="false" ht="15" hidden="false" customHeight="false" outlineLevel="0" collapsed="false">
      <c r="A516" s="6" t="n">
        <v>515</v>
      </c>
      <c r="B516" s="7" t="s">
        <v>644</v>
      </c>
      <c r="C516" s="7" t="s">
        <v>1141</v>
      </c>
      <c r="D516" s="8" t="s">
        <v>1153</v>
      </c>
      <c r="E516" s="7" t="s">
        <v>1154</v>
      </c>
      <c r="F516" s="6" t="s">
        <v>37</v>
      </c>
      <c r="G516" s="7" t="s">
        <v>27</v>
      </c>
      <c r="H516" s="7" t="s">
        <v>38</v>
      </c>
      <c r="I516" s="7" t="s">
        <v>1152</v>
      </c>
      <c r="J516" s="6" t="s">
        <v>528</v>
      </c>
      <c r="K516" s="6" t="n">
        <v>13</v>
      </c>
      <c r="L516" s="7" t="s">
        <v>1143</v>
      </c>
      <c r="M516" s="6" t="n">
        <v>6</v>
      </c>
      <c r="N516" s="7" t="s">
        <v>40</v>
      </c>
    </row>
    <row r="517" customFormat="false" ht="15" hidden="false" customHeight="false" outlineLevel="0" collapsed="false">
      <c r="A517" s="6" t="n">
        <v>516</v>
      </c>
      <c r="B517" s="7" t="s">
        <v>644</v>
      </c>
      <c r="C517" s="7" t="s">
        <v>1141</v>
      </c>
      <c r="D517" s="8" t="s">
        <v>1155</v>
      </c>
      <c r="E517" s="7" t="s">
        <v>1156</v>
      </c>
      <c r="F517" s="6" t="s">
        <v>37</v>
      </c>
      <c r="G517" s="7" t="s">
        <v>27</v>
      </c>
      <c r="H517" s="7" t="s">
        <v>38</v>
      </c>
      <c r="I517" s="7" t="s">
        <v>1152</v>
      </c>
      <c r="J517" s="6" t="s">
        <v>528</v>
      </c>
      <c r="K517" s="6" t="n">
        <v>13</v>
      </c>
      <c r="L517" s="7" t="s">
        <v>1143</v>
      </c>
      <c r="M517" s="6" t="n">
        <v>7</v>
      </c>
      <c r="N517" s="7" t="s">
        <v>40</v>
      </c>
    </row>
    <row r="518" customFormat="false" ht="15" hidden="false" customHeight="false" outlineLevel="0" collapsed="false">
      <c r="A518" s="6" t="n">
        <v>517</v>
      </c>
      <c r="B518" s="7" t="s">
        <v>644</v>
      </c>
      <c r="C518" s="7" t="s">
        <v>1141</v>
      </c>
      <c r="D518" s="8" t="s">
        <v>1157</v>
      </c>
      <c r="E518" s="7" t="s">
        <v>1158</v>
      </c>
      <c r="F518" s="6" t="s">
        <v>37</v>
      </c>
      <c r="G518" s="7" t="s">
        <v>27</v>
      </c>
      <c r="H518" s="7" t="s">
        <v>38</v>
      </c>
      <c r="I518" s="7" t="s">
        <v>83</v>
      </c>
      <c r="J518" s="6" t="s">
        <v>528</v>
      </c>
      <c r="K518" s="6" t="n">
        <v>13</v>
      </c>
      <c r="L518" s="7" t="s">
        <v>1143</v>
      </c>
      <c r="M518" s="6" t="n">
        <v>8</v>
      </c>
      <c r="N518" s="7" t="s">
        <v>40</v>
      </c>
    </row>
    <row r="519" customFormat="false" ht="15" hidden="false" customHeight="false" outlineLevel="0" collapsed="false">
      <c r="A519" s="6" t="n">
        <v>518</v>
      </c>
      <c r="B519" s="7" t="s">
        <v>644</v>
      </c>
      <c r="C519" s="7" t="s">
        <v>1141</v>
      </c>
      <c r="D519" s="8" t="s">
        <v>1159</v>
      </c>
      <c r="E519" s="8" t="s">
        <v>1160</v>
      </c>
      <c r="F519" s="6" t="s">
        <v>37</v>
      </c>
      <c r="G519" s="7" t="s">
        <v>27</v>
      </c>
      <c r="H519" s="7" t="s">
        <v>38</v>
      </c>
      <c r="I519" s="7" t="s">
        <v>1096</v>
      </c>
      <c r="J519" s="6" t="s">
        <v>528</v>
      </c>
      <c r="K519" s="6" t="n">
        <v>13</v>
      </c>
      <c r="L519" s="7" t="s">
        <v>1143</v>
      </c>
      <c r="M519" s="6" t="n">
        <v>9</v>
      </c>
      <c r="N519" s="7" t="s">
        <v>40</v>
      </c>
    </row>
    <row r="520" customFormat="false" ht="15" hidden="false" customHeight="false" outlineLevel="0" collapsed="false">
      <c r="A520" s="6" t="n">
        <v>519</v>
      </c>
      <c r="B520" s="7" t="s">
        <v>644</v>
      </c>
      <c r="C520" s="7" t="s">
        <v>1141</v>
      </c>
      <c r="D520" s="9" t="s">
        <v>1161</v>
      </c>
      <c r="E520" s="7" t="s">
        <v>1106</v>
      </c>
      <c r="F520" s="6" t="s">
        <v>476</v>
      </c>
      <c r="G520" s="7" t="s">
        <v>43</v>
      </c>
      <c r="H520" s="7" t="s">
        <v>38</v>
      </c>
      <c r="I520" s="7" t="s">
        <v>872</v>
      </c>
      <c r="J520" s="6" t="s">
        <v>528</v>
      </c>
      <c r="K520" s="6" t="n">
        <v>13</v>
      </c>
      <c r="L520" s="7" t="s">
        <v>1143</v>
      </c>
      <c r="M520" s="6" t="n">
        <v>10</v>
      </c>
      <c r="N520" s="7" t="s">
        <v>40</v>
      </c>
    </row>
    <row r="521" customFormat="false" ht="29.85" hidden="false" customHeight="false" outlineLevel="0" collapsed="false">
      <c r="A521" s="6" t="n">
        <v>520</v>
      </c>
      <c r="B521" s="7" t="s">
        <v>644</v>
      </c>
      <c r="C521" s="7" t="s">
        <v>1141</v>
      </c>
      <c r="D521" s="8" t="s">
        <v>1162</v>
      </c>
      <c r="E521" s="7" t="s">
        <v>1163</v>
      </c>
      <c r="F521" s="6" t="s">
        <v>476</v>
      </c>
      <c r="G521" s="7" t="s">
        <v>43</v>
      </c>
      <c r="H521" s="7" t="s">
        <v>38</v>
      </c>
      <c r="I521" s="7" t="s">
        <v>676</v>
      </c>
      <c r="J521" s="6" t="s">
        <v>528</v>
      </c>
      <c r="K521" s="6" t="n">
        <v>13</v>
      </c>
      <c r="L521" s="7" t="s">
        <v>1143</v>
      </c>
      <c r="M521" s="6" t="n">
        <v>11</v>
      </c>
      <c r="N521" s="7" t="s">
        <v>40</v>
      </c>
    </row>
    <row r="522" customFormat="false" ht="29.85" hidden="false" customHeight="false" outlineLevel="0" collapsed="false">
      <c r="A522" s="6" t="n">
        <v>521</v>
      </c>
      <c r="B522" s="7" t="s">
        <v>644</v>
      </c>
      <c r="C522" s="7" t="s">
        <v>1141</v>
      </c>
      <c r="D522" s="8" t="s">
        <v>1164</v>
      </c>
      <c r="E522" s="7" t="s">
        <v>1165</v>
      </c>
      <c r="F522" s="6" t="s">
        <v>476</v>
      </c>
      <c r="G522" s="7" t="s">
        <v>43</v>
      </c>
      <c r="H522" s="7" t="s">
        <v>38</v>
      </c>
      <c r="I522" s="7" t="s">
        <v>676</v>
      </c>
      <c r="J522" s="6" t="s">
        <v>528</v>
      </c>
      <c r="K522" s="6" t="n">
        <v>13</v>
      </c>
      <c r="L522" s="7" t="s">
        <v>1143</v>
      </c>
      <c r="M522" s="6" t="n">
        <v>12</v>
      </c>
      <c r="N522" s="7" t="s">
        <v>40</v>
      </c>
    </row>
    <row r="523" customFormat="false" ht="15" hidden="false" customHeight="false" outlineLevel="0" collapsed="false">
      <c r="A523" s="6" t="n">
        <v>522</v>
      </c>
      <c r="B523" s="7" t="s">
        <v>566</v>
      </c>
      <c r="C523" s="7" t="s">
        <v>1166</v>
      </c>
      <c r="D523" s="8" t="s">
        <v>1167</v>
      </c>
      <c r="E523" s="7" t="s">
        <v>1168</v>
      </c>
      <c r="F523" s="6" t="s">
        <v>476</v>
      </c>
      <c r="G523" s="7" t="s">
        <v>43</v>
      </c>
      <c r="H523" s="7" t="s">
        <v>20</v>
      </c>
      <c r="I523" s="7" t="s">
        <v>32</v>
      </c>
      <c r="J523" s="6" t="s">
        <v>528</v>
      </c>
      <c r="K523" s="6" t="n">
        <v>14</v>
      </c>
      <c r="L523" s="7" t="s">
        <v>1169</v>
      </c>
      <c r="M523" s="6" t="n">
        <v>1</v>
      </c>
      <c r="N523" s="7" t="s">
        <v>24</v>
      </c>
    </row>
    <row r="524" customFormat="false" ht="15" hidden="false" customHeight="false" outlineLevel="0" collapsed="false">
      <c r="A524" s="6" t="n">
        <v>523</v>
      </c>
      <c r="B524" s="7" t="s">
        <v>566</v>
      </c>
      <c r="C524" s="7" t="s">
        <v>1166</v>
      </c>
      <c r="D524" s="8" t="s">
        <v>1170</v>
      </c>
      <c r="E524" s="7" t="s">
        <v>1171</v>
      </c>
      <c r="F524" s="6" t="s">
        <v>476</v>
      </c>
      <c r="G524" s="7" t="s">
        <v>43</v>
      </c>
      <c r="H524" s="7" t="s">
        <v>20</v>
      </c>
      <c r="I524" s="7" t="s">
        <v>34</v>
      </c>
      <c r="J524" s="6" t="s">
        <v>528</v>
      </c>
      <c r="K524" s="6" t="n">
        <v>14</v>
      </c>
      <c r="L524" s="7" t="s">
        <v>1169</v>
      </c>
      <c r="M524" s="6" t="n">
        <v>2</v>
      </c>
      <c r="N524" s="7" t="s">
        <v>24</v>
      </c>
    </row>
    <row r="525" customFormat="false" ht="15" hidden="false" customHeight="false" outlineLevel="0" collapsed="false">
      <c r="A525" s="6" t="n">
        <v>524</v>
      </c>
      <c r="B525" s="7" t="s">
        <v>566</v>
      </c>
      <c r="C525" s="7" t="s">
        <v>1166</v>
      </c>
      <c r="D525" s="8" t="s">
        <v>1172</v>
      </c>
      <c r="E525" s="7" t="s">
        <v>1173</v>
      </c>
      <c r="F525" s="6" t="s">
        <v>526</v>
      </c>
      <c r="G525" s="7" t="s">
        <v>43</v>
      </c>
      <c r="H525" s="7" t="s">
        <v>20</v>
      </c>
      <c r="I525" s="7" t="s">
        <v>183</v>
      </c>
      <c r="J525" s="6" t="s">
        <v>528</v>
      </c>
      <c r="K525" s="6" t="n">
        <v>14</v>
      </c>
      <c r="L525" s="7" t="s">
        <v>1169</v>
      </c>
      <c r="M525" s="6" t="n">
        <v>3</v>
      </c>
      <c r="N525" s="7" t="s">
        <v>24</v>
      </c>
    </row>
    <row r="526" customFormat="false" ht="15" hidden="false" customHeight="false" outlineLevel="0" collapsed="false">
      <c r="A526" s="6" t="n">
        <v>525</v>
      </c>
      <c r="B526" s="7" t="s">
        <v>566</v>
      </c>
      <c r="C526" s="7" t="s">
        <v>1166</v>
      </c>
      <c r="D526" s="8" t="s">
        <v>1174</v>
      </c>
      <c r="E526" s="7" t="s">
        <v>1175</v>
      </c>
      <c r="F526" s="6" t="s">
        <v>476</v>
      </c>
      <c r="G526" s="7" t="s">
        <v>43</v>
      </c>
      <c r="H526" s="7" t="s">
        <v>20</v>
      </c>
      <c r="I526" s="7" t="s">
        <v>138</v>
      </c>
      <c r="J526" s="6" t="s">
        <v>528</v>
      </c>
      <c r="K526" s="6" t="n">
        <v>14</v>
      </c>
      <c r="L526" s="7" t="s">
        <v>1169</v>
      </c>
      <c r="M526" s="6" t="n">
        <v>4</v>
      </c>
      <c r="N526" s="7" t="s">
        <v>24</v>
      </c>
    </row>
    <row r="527" customFormat="false" ht="15" hidden="false" customHeight="false" outlineLevel="0" collapsed="false">
      <c r="A527" s="6" t="n">
        <v>526</v>
      </c>
      <c r="B527" s="7" t="s">
        <v>566</v>
      </c>
      <c r="C527" s="7" t="s">
        <v>1166</v>
      </c>
      <c r="D527" s="8" t="s">
        <v>1176</v>
      </c>
      <c r="E527" s="7" t="s">
        <v>1177</v>
      </c>
      <c r="F527" s="6" t="s">
        <v>37</v>
      </c>
      <c r="G527" s="7" t="s">
        <v>27</v>
      </c>
      <c r="H527" s="7" t="s">
        <v>38</v>
      </c>
      <c r="I527" s="7" t="s">
        <v>108</v>
      </c>
      <c r="J527" s="6" t="s">
        <v>528</v>
      </c>
      <c r="K527" s="6" t="n">
        <v>14</v>
      </c>
      <c r="L527" s="7" t="s">
        <v>1169</v>
      </c>
      <c r="M527" s="6" t="n">
        <v>5</v>
      </c>
      <c r="N527" s="7" t="s">
        <v>40</v>
      </c>
    </row>
    <row r="528" customFormat="false" ht="15" hidden="false" customHeight="false" outlineLevel="0" collapsed="false">
      <c r="A528" s="6" t="n">
        <v>527</v>
      </c>
      <c r="B528" s="7" t="s">
        <v>566</v>
      </c>
      <c r="C528" s="7" t="s">
        <v>1166</v>
      </c>
      <c r="D528" s="8" t="s">
        <v>1178</v>
      </c>
      <c r="E528" s="7" t="s">
        <v>1179</v>
      </c>
      <c r="F528" s="6" t="s">
        <v>476</v>
      </c>
      <c r="G528" s="7" t="s">
        <v>43</v>
      </c>
      <c r="H528" s="7" t="s">
        <v>20</v>
      </c>
      <c r="I528" s="7" t="s">
        <v>138</v>
      </c>
      <c r="J528" s="6" t="s">
        <v>528</v>
      </c>
      <c r="K528" s="6" t="n">
        <v>14</v>
      </c>
      <c r="L528" s="7" t="s">
        <v>1169</v>
      </c>
      <c r="M528" s="6" t="n">
        <v>6</v>
      </c>
      <c r="N528" s="7" t="s">
        <v>24</v>
      </c>
    </row>
    <row r="529" customFormat="false" ht="29.85" hidden="false" customHeight="false" outlineLevel="0" collapsed="false">
      <c r="A529" s="6" t="n">
        <v>528</v>
      </c>
      <c r="B529" s="7" t="s">
        <v>566</v>
      </c>
      <c r="C529" s="7" t="s">
        <v>1166</v>
      </c>
      <c r="D529" s="8" t="s">
        <v>1180</v>
      </c>
      <c r="E529" s="7" t="s">
        <v>1181</v>
      </c>
      <c r="F529" s="6" t="s">
        <v>476</v>
      </c>
      <c r="G529" s="7" t="s">
        <v>43</v>
      </c>
      <c r="H529" s="7" t="s">
        <v>20</v>
      </c>
      <c r="I529" s="7" t="s">
        <v>243</v>
      </c>
      <c r="J529" s="6" t="s">
        <v>528</v>
      </c>
      <c r="K529" s="6" t="n">
        <v>14</v>
      </c>
      <c r="L529" s="7" t="s">
        <v>1169</v>
      </c>
      <c r="M529" s="6" t="n">
        <v>7</v>
      </c>
      <c r="N529" s="7" t="s">
        <v>24</v>
      </c>
    </row>
    <row r="530" customFormat="false" ht="29.85" hidden="false" customHeight="false" outlineLevel="0" collapsed="false">
      <c r="A530" s="6" t="n">
        <v>529</v>
      </c>
      <c r="B530" s="7" t="s">
        <v>566</v>
      </c>
      <c r="C530" s="7" t="s">
        <v>1166</v>
      </c>
      <c r="D530" s="8" t="s">
        <v>1182</v>
      </c>
      <c r="E530" s="7" t="s">
        <v>1175</v>
      </c>
      <c r="F530" s="6" t="s">
        <v>476</v>
      </c>
      <c r="G530" s="7" t="s">
        <v>43</v>
      </c>
      <c r="H530" s="7" t="s">
        <v>20</v>
      </c>
      <c r="I530" s="7" t="s">
        <v>192</v>
      </c>
      <c r="J530" s="6" t="s">
        <v>528</v>
      </c>
      <c r="K530" s="6" t="n">
        <v>14</v>
      </c>
      <c r="L530" s="7" t="s">
        <v>1169</v>
      </c>
      <c r="M530" s="6" t="n">
        <v>8</v>
      </c>
      <c r="N530" s="7" t="s">
        <v>24</v>
      </c>
    </row>
    <row r="531" customFormat="false" ht="29.85" hidden="false" customHeight="false" outlineLevel="0" collapsed="false">
      <c r="A531" s="6" t="n">
        <v>530</v>
      </c>
      <c r="B531" s="7" t="s">
        <v>566</v>
      </c>
      <c r="C531" s="7" t="s">
        <v>1166</v>
      </c>
      <c r="D531" s="8" t="s">
        <v>1183</v>
      </c>
      <c r="E531" s="7" t="s">
        <v>1184</v>
      </c>
      <c r="F531" s="6" t="s">
        <v>476</v>
      </c>
      <c r="G531" s="7" t="s">
        <v>43</v>
      </c>
      <c r="H531" s="7" t="s">
        <v>20</v>
      </c>
      <c r="I531" s="7" t="s">
        <v>192</v>
      </c>
      <c r="J531" s="6" t="s">
        <v>528</v>
      </c>
      <c r="K531" s="6" t="n">
        <v>14</v>
      </c>
      <c r="L531" s="7" t="s">
        <v>1169</v>
      </c>
      <c r="M531" s="6" t="n">
        <v>9</v>
      </c>
      <c r="N531" s="7" t="s">
        <v>24</v>
      </c>
    </row>
    <row r="532" customFormat="false" ht="15" hidden="false" customHeight="false" outlineLevel="0" collapsed="false">
      <c r="A532" s="6" t="n">
        <v>531</v>
      </c>
      <c r="B532" s="7" t="s">
        <v>566</v>
      </c>
      <c r="C532" s="7" t="s">
        <v>1166</v>
      </c>
      <c r="D532" s="8" t="s">
        <v>1185</v>
      </c>
      <c r="E532" s="7" t="s">
        <v>1186</v>
      </c>
      <c r="F532" s="6" t="s">
        <v>37</v>
      </c>
      <c r="G532" s="7" t="s">
        <v>27</v>
      </c>
      <c r="H532" s="7" t="s">
        <v>38</v>
      </c>
      <c r="I532" s="7" t="s">
        <v>153</v>
      </c>
      <c r="J532" s="6" t="s">
        <v>528</v>
      </c>
      <c r="K532" s="6" t="n">
        <v>14</v>
      </c>
      <c r="L532" s="7" t="s">
        <v>1169</v>
      </c>
      <c r="M532" s="6" t="n">
        <v>10</v>
      </c>
      <c r="N532" s="7" t="s">
        <v>40</v>
      </c>
    </row>
    <row r="533" customFormat="false" ht="29.85" hidden="false" customHeight="false" outlineLevel="0" collapsed="false">
      <c r="A533" s="6" t="n">
        <v>532</v>
      </c>
      <c r="B533" s="7" t="s">
        <v>566</v>
      </c>
      <c r="C533" s="7" t="s">
        <v>1166</v>
      </c>
      <c r="D533" s="8" t="s">
        <v>1187</v>
      </c>
      <c r="E533" s="7" t="s">
        <v>1179</v>
      </c>
      <c r="F533" s="6" t="s">
        <v>476</v>
      </c>
      <c r="G533" s="7" t="s">
        <v>43</v>
      </c>
      <c r="H533" s="7" t="s">
        <v>20</v>
      </c>
      <c r="I533" s="7" t="s">
        <v>192</v>
      </c>
      <c r="J533" s="6" t="s">
        <v>528</v>
      </c>
      <c r="K533" s="6" t="n">
        <v>14</v>
      </c>
      <c r="L533" s="7" t="s">
        <v>1169</v>
      </c>
      <c r="M533" s="6" t="n">
        <v>11</v>
      </c>
      <c r="N533" s="7" t="s">
        <v>24</v>
      </c>
    </row>
    <row r="534" customFormat="false" ht="29.85" hidden="false" customHeight="false" outlineLevel="0" collapsed="false">
      <c r="A534" s="6" t="n">
        <v>533</v>
      </c>
      <c r="B534" s="7" t="s">
        <v>566</v>
      </c>
      <c r="C534" s="7" t="s">
        <v>1166</v>
      </c>
      <c r="D534" s="8" t="s">
        <v>1188</v>
      </c>
      <c r="E534" s="7" t="s">
        <v>1171</v>
      </c>
      <c r="F534" s="6" t="s">
        <v>476</v>
      </c>
      <c r="G534" s="7" t="s">
        <v>43</v>
      </c>
      <c r="H534" s="7" t="s">
        <v>20</v>
      </c>
      <c r="I534" s="7" t="s">
        <v>192</v>
      </c>
      <c r="J534" s="6" t="s">
        <v>528</v>
      </c>
      <c r="K534" s="6" t="n">
        <v>14</v>
      </c>
      <c r="L534" s="7" t="s">
        <v>1169</v>
      </c>
      <c r="M534" s="6" t="n">
        <v>12</v>
      </c>
      <c r="N534" s="7" t="s">
        <v>24</v>
      </c>
    </row>
    <row r="535" customFormat="false" ht="29.85" hidden="false" customHeight="false" outlineLevel="0" collapsed="false">
      <c r="A535" s="6" t="n">
        <v>534</v>
      </c>
      <c r="B535" s="7" t="s">
        <v>566</v>
      </c>
      <c r="C535" s="7" t="s">
        <v>1166</v>
      </c>
      <c r="D535" s="8" t="s">
        <v>1189</v>
      </c>
      <c r="E535" s="7" t="s">
        <v>1190</v>
      </c>
      <c r="F535" s="6" t="s">
        <v>476</v>
      </c>
      <c r="G535" s="7" t="s">
        <v>43</v>
      </c>
      <c r="H535" s="7" t="s">
        <v>20</v>
      </c>
      <c r="I535" s="7" t="s">
        <v>254</v>
      </c>
      <c r="J535" s="6" t="s">
        <v>528</v>
      </c>
      <c r="K535" s="6" t="n">
        <v>14</v>
      </c>
      <c r="L535" s="7" t="s">
        <v>1169</v>
      </c>
      <c r="M535" s="6" t="n">
        <v>13</v>
      </c>
      <c r="N535" s="7" t="s">
        <v>24</v>
      </c>
    </row>
    <row r="536" customFormat="false" ht="29.85" hidden="false" customHeight="false" outlineLevel="0" collapsed="false">
      <c r="A536" s="6" t="n">
        <v>535</v>
      </c>
      <c r="B536" s="7" t="s">
        <v>566</v>
      </c>
      <c r="C536" s="7" t="s">
        <v>1166</v>
      </c>
      <c r="D536" s="8" t="s">
        <v>1191</v>
      </c>
      <c r="E536" s="7" t="s">
        <v>1190</v>
      </c>
      <c r="F536" s="6" t="s">
        <v>476</v>
      </c>
      <c r="G536" s="7" t="s">
        <v>43</v>
      </c>
      <c r="H536" s="7" t="s">
        <v>20</v>
      </c>
      <c r="I536" s="7" t="s">
        <v>254</v>
      </c>
      <c r="J536" s="6" t="s">
        <v>528</v>
      </c>
      <c r="K536" s="6" t="n">
        <v>14</v>
      </c>
      <c r="L536" s="7" t="s">
        <v>1169</v>
      </c>
      <c r="M536" s="6" t="n">
        <v>14</v>
      </c>
      <c r="N536" s="7" t="s">
        <v>24</v>
      </c>
    </row>
    <row r="537" customFormat="false" ht="29.85" hidden="false" customHeight="false" outlineLevel="0" collapsed="false">
      <c r="A537" s="6" t="n">
        <v>536</v>
      </c>
      <c r="B537" s="7" t="s">
        <v>566</v>
      </c>
      <c r="C537" s="7" t="s">
        <v>1166</v>
      </c>
      <c r="D537" s="8" t="s">
        <v>1192</v>
      </c>
      <c r="E537" s="7" t="s">
        <v>1193</v>
      </c>
      <c r="F537" s="6" t="s">
        <v>476</v>
      </c>
      <c r="G537" s="7" t="s">
        <v>43</v>
      </c>
      <c r="H537" s="7" t="s">
        <v>38</v>
      </c>
      <c r="I537" s="7" t="s">
        <v>973</v>
      </c>
      <c r="J537" s="6" t="s">
        <v>528</v>
      </c>
      <c r="K537" s="6" t="n">
        <v>14</v>
      </c>
      <c r="L537" s="7" t="s">
        <v>1169</v>
      </c>
      <c r="M537" s="6" t="n">
        <v>15</v>
      </c>
      <c r="N537" s="7" t="s">
        <v>40</v>
      </c>
    </row>
    <row r="538" customFormat="false" ht="29.85" hidden="false" customHeight="false" outlineLevel="0" collapsed="false">
      <c r="A538" s="6" t="n">
        <v>537</v>
      </c>
      <c r="B538" s="7" t="s">
        <v>566</v>
      </c>
      <c r="C538" s="7" t="s">
        <v>1166</v>
      </c>
      <c r="D538" s="8" t="s">
        <v>1194</v>
      </c>
      <c r="E538" s="7" t="s">
        <v>1190</v>
      </c>
      <c r="F538" s="6" t="s">
        <v>476</v>
      </c>
      <c r="G538" s="7" t="s">
        <v>43</v>
      </c>
      <c r="H538" s="7" t="s">
        <v>20</v>
      </c>
      <c r="I538" s="7" t="s">
        <v>254</v>
      </c>
      <c r="J538" s="6" t="s">
        <v>528</v>
      </c>
      <c r="K538" s="6" t="n">
        <v>14</v>
      </c>
      <c r="L538" s="7" t="s">
        <v>1169</v>
      </c>
      <c r="M538" s="6" t="n">
        <v>16</v>
      </c>
      <c r="N538" s="7" t="s">
        <v>24</v>
      </c>
    </row>
    <row r="539" customFormat="false" ht="29.85" hidden="false" customHeight="false" outlineLevel="0" collapsed="false">
      <c r="A539" s="6" t="n">
        <v>538</v>
      </c>
      <c r="B539" s="7" t="s">
        <v>566</v>
      </c>
      <c r="C539" s="7" t="s">
        <v>1166</v>
      </c>
      <c r="D539" s="8" t="s">
        <v>1195</v>
      </c>
      <c r="E539" s="7" t="s">
        <v>1181</v>
      </c>
      <c r="F539" s="6" t="s">
        <v>476</v>
      </c>
      <c r="G539" s="7" t="s">
        <v>43</v>
      </c>
      <c r="H539" s="7" t="s">
        <v>20</v>
      </c>
      <c r="I539" s="7" t="s">
        <v>254</v>
      </c>
      <c r="J539" s="6" t="s">
        <v>528</v>
      </c>
      <c r="K539" s="6" t="n">
        <v>14</v>
      </c>
      <c r="L539" s="7" t="s">
        <v>1169</v>
      </c>
      <c r="M539" s="6" t="n">
        <v>17</v>
      </c>
      <c r="N539" s="7" t="s">
        <v>24</v>
      </c>
    </row>
    <row r="540" customFormat="false" ht="29.85" hidden="false" customHeight="false" outlineLevel="0" collapsed="false">
      <c r="A540" s="6" t="n">
        <v>539</v>
      </c>
      <c r="B540" s="7" t="s">
        <v>566</v>
      </c>
      <c r="C540" s="7" t="s">
        <v>1166</v>
      </c>
      <c r="D540" s="8" t="s">
        <v>1196</v>
      </c>
      <c r="E540" s="7" t="s">
        <v>1179</v>
      </c>
      <c r="F540" s="6" t="s">
        <v>476</v>
      </c>
      <c r="G540" s="7" t="s">
        <v>43</v>
      </c>
      <c r="H540" s="7" t="s">
        <v>20</v>
      </c>
      <c r="I540" s="7" t="s">
        <v>76</v>
      </c>
      <c r="J540" s="6" t="s">
        <v>528</v>
      </c>
      <c r="K540" s="6" t="n">
        <v>14</v>
      </c>
      <c r="L540" s="7" t="s">
        <v>1169</v>
      </c>
      <c r="M540" s="6" t="n">
        <v>18</v>
      </c>
      <c r="N540" s="7" t="s">
        <v>24</v>
      </c>
    </row>
    <row r="541" customFormat="false" ht="29.85" hidden="false" customHeight="false" outlineLevel="0" collapsed="false">
      <c r="A541" s="6" t="n">
        <v>540</v>
      </c>
      <c r="B541" s="7" t="s">
        <v>566</v>
      </c>
      <c r="C541" s="7" t="s">
        <v>1166</v>
      </c>
      <c r="D541" s="8" t="s">
        <v>1197</v>
      </c>
      <c r="E541" s="7" t="s">
        <v>1184</v>
      </c>
      <c r="F541" s="6" t="s">
        <v>476</v>
      </c>
      <c r="G541" s="7" t="s">
        <v>43</v>
      </c>
      <c r="H541" s="7" t="s">
        <v>20</v>
      </c>
      <c r="I541" s="7" t="s">
        <v>49</v>
      </c>
      <c r="J541" s="6" t="s">
        <v>528</v>
      </c>
      <c r="K541" s="6" t="n">
        <v>14</v>
      </c>
      <c r="L541" s="7" t="s">
        <v>1169</v>
      </c>
      <c r="M541" s="6" t="n">
        <v>19</v>
      </c>
      <c r="N541" s="7" t="s">
        <v>24</v>
      </c>
    </row>
    <row r="542" customFormat="false" ht="29.85" hidden="false" customHeight="false" outlineLevel="0" collapsed="false">
      <c r="A542" s="6" t="n">
        <v>541</v>
      </c>
      <c r="B542" s="7" t="s">
        <v>566</v>
      </c>
      <c r="C542" s="7" t="s">
        <v>1166</v>
      </c>
      <c r="D542" s="8" t="s">
        <v>1198</v>
      </c>
      <c r="E542" s="7" t="s">
        <v>1199</v>
      </c>
      <c r="F542" s="6" t="s">
        <v>526</v>
      </c>
      <c r="G542" s="7" t="s">
        <v>43</v>
      </c>
      <c r="H542" s="7" t="s">
        <v>38</v>
      </c>
      <c r="I542" s="7" t="s">
        <v>635</v>
      </c>
      <c r="J542" s="6" t="s">
        <v>528</v>
      </c>
      <c r="K542" s="6" t="n">
        <v>14</v>
      </c>
      <c r="L542" s="7" t="s">
        <v>1169</v>
      </c>
      <c r="M542" s="6" t="n">
        <v>20</v>
      </c>
      <c r="N542" s="7" t="s">
        <v>40</v>
      </c>
    </row>
    <row r="543" customFormat="false" ht="29.85" hidden="false" customHeight="false" outlineLevel="0" collapsed="false">
      <c r="A543" s="6" t="n">
        <v>542</v>
      </c>
      <c r="B543" s="7" t="s">
        <v>566</v>
      </c>
      <c r="C543" s="7" t="s">
        <v>1166</v>
      </c>
      <c r="D543" s="8" t="s">
        <v>1200</v>
      </c>
      <c r="E543" s="7" t="s">
        <v>1201</v>
      </c>
      <c r="F543" s="6" t="s">
        <v>476</v>
      </c>
      <c r="G543" s="7" t="s">
        <v>43</v>
      </c>
      <c r="H543" s="7" t="s">
        <v>20</v>
      </c>
      <c r="I543" s="7" t="s">
        <v>88</v>
      </c>
      <c r="J543" s="6" t="s">
        <v>528</v>
      </c>
      <c r="K543" s="6" t="n">
        <v>14</v>
      </c>
      <c r="L543" s="7" t="s">
        <v>1169</v>
      </c>
      <c r="M543" s="6" t="n">
        <v>21</v>
      </c>
      <c r="N543" s="7" t="s">
        <v>24</v>
      </c>
    </row>
    <row r="544" customFormat="false" ht="29.85" hidden="false" customHeight="false" outlineLevel="0" collapsed="false">
      <c r="A544" s="6" t="n">
        <v>543</v>
      </c>
      <c r="B544" s="7" t="s">
        <v>566</v>
      </c>
      <c r="C544" s="7" t="s">
        <v>1166</v>
      </c>
      <c r="D544" s="8" t="s">
        <v>1202</v>
      </c>
      <c r="E544" s="7" t="s">
        <v>1181</v>
      </c>
      <c r="F544" s="6" t="s">
        <v>476</v>
      </c>
      <c r="G544" s="7" t="s">
        <v>43</v>
      </c>
      <c r="H544" s="7" t="s">
        <v>20</v>
      </c>
      <c r="I544" s="7" t="s">
        <v>91</v>
      </c>
      <c r="J544" s="6" t="s">
        <v>528</v>
      </c>
      <c r="K544" s="6" t="n">
        <v>14</v>
      </c>
      <c r="L544" s="7" t="s">
        <v>1169</v>
      </c>
      <c r="M544" s="6" t="n">
        <v>22</v>
      </c>
      <c r="N544" s="7" t="s">
        <v>24</v>
      </c>
    </row>
    <row r="545" customFormat="false" ht="29.85" hidden="false" customHeight="false" outlineLevel="0" collapsed="false">
      <c r="A545" s="6" t="n">
        <v>544</v>
      </c>
      <c r="B545" s="7" t="s">
        <v>566</v>
      </c>
      <c r="C545" s="7" t="s">
        <v>1166</v>
      </c>
      <c r="D545" s="8" t="s">
        <v>1203</v>
      </c>
      <c r="E545" s="7" t="s">
        <v>1204</v>
      </c>
      <c r="F545" s="6" t="s">
        <v>476</v>
      </c>
      <c r="G545" s="7" t="s">
        <v>43</v>
      </c>
      <c r="H545" s="7" t="s">
        <v>20</v>
      </c>
      <c r="I545" s="7" t="s">
        <v>91</v>
      </c>
      <c r="J545" s="6" t="s">
        <v>528</v>
      </c>
      <c r="K545" s="6" t="n">
        <v>14</v>
      </c>
      <c r="L545" s="7" t="s">
        <v>1169</v>
      </c>
      <c r="M545" s="6" t="n">
        <v>23</v>
      </c>
      <c r="N545" s="7" t="s">
        <v>24</v>
      </c>
    </row>
    <row r="546" customFormat="false" ht="29.85" hidden="false" customHeight="false" outlineLevel="0" collapsed="false">
      <c r="A546" s="6" t="n">
        <v>545</v>
      </c>
      <c r="B546" s="7" t="s">
        <v>566</v>
      </c>
      <c r="C546" s="7" t="s">
        <v>1166</v>
      </c>
      <c r="D546" s="8" t="s">
        <v>1205</v>
      </c>
      <c r="E546" s="7" t="s">
        <v>1171</v>
      </c>
      <c r="F546" s="6" t="s">
        <v>476</v>
      </c>
      <c r="G546" s="7" t="s">
        <v>43</v>
      </c>
      <c r="H546" s="7" t="s">
        <v>20</v>
      </c>
      <c r="I546" s="7" t="s">
        <v>91</v>
      </c>
      <c r="J546" s="6" t="s">
        <v>528</v>
      </c>
      <c r="K546" s="6" t="n">
        <v>14</v>
      </c>
      <c r="L546" s="7" t="s">
        <v>1169</v>
      </c>
      <c r="M546" s="6" t="n">
        <v>24</v>
      </c>
      <c r="N546" s="7" t="s">
        <v>24</v>
      </c>
    </row>
    <row r="547" customFormat="false" ht="29.85" hidden="false" customHeight="false" outlineLevel="0" collapsed="false">
      <c r="A547" s="6" t="n">
        <v>546</v>
      </c>
      <c r="B547" s="7" t="s">
        <v>566</v>
      </c>
      <c r="C547" s="7" t="s">
        <v>1166</v>
      </c>
      <c r="D547" s="8" t="s">
        <v>1206</v>
      </c>
      <c r="E547" s="7" t="s">
        <v>1207</v>
      </c>
      <c r="F547" s="6" t="s">
        <v>526</v>
      </c>
      <c r="G547" s="7" t="s">
        <v>43</v>
      </c>
      <c r="H547" s="7" t="s">
        <v>38</v>
      </c>
      <c r="I547" s="7" t="s">
        <v>123</v>
      </c>
      <c r="J547" s="6" t="s">
        <v>528</v>
      </c>
      <c r="K547" s="6" t="n">
        <v>14</v>
      </c>
      <c r="L547" s="7" t="s">
        <v>1169</v>
      </c>
      <c r="M547" s="6" t="n">
        <v>25</v>
      </c>
      <c r="N547" s="7" t="s">
        <v>40</v>
      </c>
    </row>
    <row r="548" customFormat="false" ht="29.85" hidden="false" customHeight="false" outlineLevel="0" collapsed="false">
      <c r="A548" s="6" t="n">
        <v>547</v>
      </c>
      <c r="B548" s="7" t="s">
        <v>566</v>
      </c>
      <c r="C548" s="7" t="s">
        <v>1166</v>
      </c>
      <c r="D548" s="8" t="s">
        <v>1208</v>
      </c>
      <c r="E548" s="7" t="s">
        <v>1168</v>
      </c>
      <c r="F548" s="6" t="s">
        <v>476</v>
      </c>
      <c r="G548" s="7" t="s">
        <v>43</v>
      </c>
      <c r="H548" s="7" t="s">
        <v>20</v>
      </c>
      <c r="I548" s="7" t="s">
        <v>98</v>
      </c>
      <c r="J548" s="6" t="s">
        <v>528</v>
      </c>
      <c r="K548" s="6" t="n">
        <v>14</v>
      </c>
      <c r="L548" s="7" t="s">
        <v>1169</v>
      </c>
      <c r="M548" s="6" t="n">
        <v>26</v>
      </c>
      <c r="N548" s="7" t="s">
        <v>24</v>
      </c>
    </row>
    <row r="549" customFormat="false" ht="29.85" hidden="false" customHeight="false" outlineLevel="0" collapsed="false">
      <c r="A549" s="6" t="n">
        <v>548</v>
      </c>
      <c r="B549" s="7" t="s">
        <v>566</v>
      </c>
      <c r="C549" s="7" t="s">
        <v>1166</v>
      </c>
      <c r="D549" s="8" t="s">
        <v>1209</v>
      </c>
      <c r="E549" s="7" t="s">
        <v>1173</v>
      </c>
      <c r="F549" s="6" t="s">
        <v>526</v>
      </c>
      <c r="G549" s="7" t="s">
        <v>43</v>
      </c>
      <c r="H549" s="7" t="s">
        <v>20</v>
      </c>
      <c r="I549" s="7" t="s">
        <v>51</v>
      </c>
      <c r="J549" s="6" t="s">
        <v>528</v>
      </c>
      <c r="K549" s="6" t="n">
        <v>14</v>
      </c>
      <c r="L549" s="7" t="s">
        <v>1169</v>
      </c>
      <c r="M549" s="6" t="n">
        <v>27</v>
      </c>
      <c r="N549" s="7" t="s">
        <v>24</v>
      </c>
    </row>
    <row r="550" customFormat="false" ht="29.85" hidden="false" customHeight="false" outlineLevel="0" collapsed="false">
      <c r="A550" s="6" t="n">
        <v>549</v>
      </c>
      <c r="B550" s="7" t="s">
        <v>566</v>
      </c>
      <c r="C550" s="7" t="s">
        <v>1166</v>
      </c>
      <c r="D550" s="8" t="s">
        <v>1210</v>
      </c>
      <c r="E550" s="7" t="s">
        <v>1171</v>
      </c>
      <c r="F550" s="6" t="s">
        <v>476</v>
      </c>
      <c r="G550" s="7" t="s">
        <v>43</v>
      </c>
      <c r="H550" s="7" t="s">
        <v>20</v>
      </c>
      <c r="I550" s="7" t="s">
        <v>51</v>
      </c>
      <c r="J550" s="6" t="s">
        <v>528</v>
      </c>
      <c r="K550" s="6" t="n">
        <v>14</v>
      </c>
      <c r="L550" s="7" t="s">
        <v>1169</v>
      </c>
      <c r="M550" s="6" t="n">
        <v>28</v>
      </c>
      <c r="N550" s="7" t="s">
        <v>24</v>
      </c>
    </row>
    <row r="551" customFormat="false" ht="29.85" hidden="false" customHeight="false" outlineLevel="0" collapsed="false">
      <c r="A551" s="6" t="n">
        <v>550</v>
      </c>
      <c r="B551" s="7" t="s">
        <v>566</v>
      </c>
      <c r="C551" s="7" t="s">
        <v>1166</v>
      </c>
      <c r="D551" s="8" t="s">
        <v>1211</v>
      </c>
      <c r="E551" s="7" t="s">
        <v>1184</v>
      </c>
      <c r="F551" s="6" t="s">
        <v>476</v>
      </c>
      <c r="G551" s="7" t="s">
        <v>43</v>
      </c>
      <c r="H551" s="7" t="s">
        <v>20</v>
      </c>
      <c r="I551" s="7" t="s">
        <v>114</v>
      </c>
      <c r="J551" s="6" t="s">
        <v>528</v>
      </c>
      <c r="K551" s="6" t="n">
        <v>14</v>
      </c>
      <c r="L551" s="7" t="s">
        <v>1169</v>
      </c>
      <c r="M551" s="6" t="n">
        <v>29</v>
      </c>
      <c r="N551" s="7" t="s">
        <v>24</v>
      </c>
    </row>
    <row r="552" customFormat="false" ht="29.85" hidden="false" customHeight="false" outlineLevel="0" collapsed="false">
      <c r="A552" s="6" t="n">
        <v>551</v>
      </c>
      <c r="B552" s="7" t="s">
        <v>566</v>
      </c>
      <c r="C552" s="7" t="s">
        <v>1166</v>
      </c>
      <c r="D552" s="8" t="s">
        <v>1212</v>
      </c>
      <c r="E552" s="7" t="s">
        <v>1213</v>
      </c>
      <c r="F552" s="6" t="s">
        <v>476</v>
      </c>
      <c r="G552" s="7" t="s">
        <v>43</v>
      </c>
      <c r="H552" s="7" t="s">
        <v>38</v>
      </c>
      <c r="I552" s="7" t="s">
        <v>1214</v>
      </c>
      <c r="J552" s="6" t="s">
        <v>528</v>
      </c>
      <c r="K552" s="6" t="n">
        <v>14</v>
      </c>
      <c r="L552" s="7" t="s">
        <v>1169</v>
      </c>
      <c r="M552" s="6" t="n">
        <v>30</v>
      </c>
      <c r="N552" s="7" t="s">
        <v>40</v>
      </c>
    </row>
    <row r="553" customFormat="false" ht="29.85" hidden="false" customHeight="false" outlineLevel="0" collapsed="false">
      <c r="A553" s="6" t="n">
        <v>552</v>
      </c>
      <c r="B553" s="7" t="s">
        <v>566</v>
      </c>
      <c r="C553" s="7" t="s">
        <v>1166</v>
      </c>
      <c r="D553" s="8" t="s">
        <v>1215</v>
      </c>
      <c r="E553" s="7" t="s">
        <v>1175</v>
      </c>
      <c r="F553" s="6" t="s">
        <v>476</v>
      </c>
      <c r="G553" s="7" t="s">
        <v>43</v>
      </c>
      <c r="H553" s="7" t="s">
        <v>20</v>
      </c>
      <c r="I553" s="7" t="s">
        <v>289</v>
      </c>
      <c r="J553" s="6" t="s">
        <v>528</v>
      </c>
      <c r="K553" s="6" t="n">
        <v>14</v>
      </c>
      <c r="L553" s="7" t="s">
        <v>1169</v>
      </c>
      <c r="M553" s="6" t="n">
        <v>31</v>
      </c>
      <c r="N553" s="7" t="s">
        <v>24</v>
      </c>
    </row>
    <row r="554" customFormat="false" ht="29.85" hidden="false" customHeight="false" outlineLevel="0" collapsed="false">
      <c r="A554" s="6" t="n">
        <v>553</v>
      </c>
      <c r="B554" s="7" t="s">
        <v>566</v>
      </c>
      <c r="C554" s="7" t="s">
        <v>1166</v>
      </c>
      <c r="D554" s="8" t="s">
        <v>1216</v>
      </c>
      <c r="E554" s="7" t="s">
        <v>1217</v>
      </c>
      <c r="F554" s="6" t="s">
        <v>476</v>
      </c>
      <c r="G554" s="7" t="s">
        <v>43</v>
      </c>
      <c r="H554" s="7" t="s">
        <v>20</v>
      </c>
      <c r="I554" s="7" t="s">
        <v>295</v>
      </c>
      <c r="J554" s="6" t="s">
        <v>528</v>
      </c>
      <c r="K554" s="6" t="n">
        <v>14</v>
      </c>
      <c r="L554" s="7" t="s">
        <v>1169</v>
      </c>
      <c r="M554" s="6" t="n">
        <v>32</v>
      </c>
      <c r="N554" s="7" t="s">
        <v>24</v>
      </c>
    </row>
    <row r="555" customFormat="false" ht="29.85" hidden="false" customHeight="false" outlineLevel="0" collapsed="false">
      <c r="A555" s="6" t="n">
        <v>554</v>
      </c>
      <c r="B555" s="7" t="s">
        <v>566</v>
      </c>
      <c r="C555" s="7" t="s">
        <v>1166</v>
      </c>
      <c r="D555" s="8" t="s">
        <v>1218</v>
      </c>
      <c r="E555" s="7" t="s">
        <v>1217</v>
      </c>
      <c r="F555" s="6" t="s">
        <v>476</v>
      </c>
      <c r="G555" s="7" t="s">
        <v>43</v>
      </c>
      <c r="H555" s="7" t="s">
        <v>20</v>
      </c>
      <c r="I555" s="7" t="s">
        <v>203</v>
      </c>
      <c r="J555" s="6" t="s">
        <v>528</v>
      </c>
      <c r="K555" s="6" t="n">
        <v>14</v>
      </c>
      <c r="L555" s="7" t="s">
        <v>1169</v>
      </c>
      <c r="M555" s="6" t="n">
        <v>33</v>
      </c>
      <c r="N555" s="7" t="s">
        <v>24</v>
      </c>
    </row>
    <row r="556" customFormat="false" ht="29.85" hidden="false" customHeight="false" outlineLevel="0" collapsed="false">
      <c r="A556" s="6" t="n">
        <v>555</v>
      </c>
      <c r="B556" s="7" t="s">
        <v>566</v>
      </c>
      <c r="C556" s="7" t="s">
        <v>1166</v>
      </c>
      <c r="D556" s="8" t="s">
        <v>1219</v>
      </c>
      <c r="E556" s="7" t="s">
        <v>1204</v>
      </c>
      <c r="F556" s="6" t="s">
        <v>476</v>
      </c>
      <c r="G556" s="7" t="s">
        <v>43</v>
      </c>
      <c r="H556" s="7" t="s">
        <v>20</v>
      </c>
      <c r="I556" s="7" t="s">
        <v>117</v>
      </c>
      <c r="J556" s="6" t="s">
        <v>528</v>
      </c>
      <c r="K556" s="6" t="n">
        <v>14</v>
      </c>
      <c r="L556" s="7" t="s">
        <v>1169</v>
      </c>
      <c r="M556" s="6" t="n">
        <v>34</v>
      </c>
      <c r="N556" s="7" t="s">
        <v>24</v>
      </c>
    </row>
    <row r="557" customFormat="false" ht="29.85" hidden="false" customHeight="false" outlineLevel="0" collapsed="false">
      <c r="A557" s="6" t="n">
        <v>556</v>
      </c>
      <c r="B557" s="7" t="s">
        <v>566</v>
      </c>
      <c r="C557" s="7" t="s">
        <v>1166</v>
      </c>
      <c r="D557" s="8" t="s">
        <v>1220</v>
      </c>
      <c r="E557" s="7" t="s">
        <v>1193</v>
      </c>
      <c r="F557" s="6" t="s">
        <v>476</v>
      </c>
      <c r="G557" s="7" t="s">
        <v>43</v>
      </c>
      <c r="H557" s="7" t="s">
        <v>38</v>
      </c>
      <c r="I557" s="7" t="s">
        <v>904</v>
      </c>
      <c r="J557" s="6" t="s">
        <v>528</v>
      </c>
      <c r="K557" s="6" t="n">
        <v>14</v>
      </c>
      <c r="L557" s="7" t="s">
        <v>1169</v>
      </c>
      <c r="M557" s="6" t="n">
        <v>35</v>
      </c>
      <c r="N557" s="7" t="s">
        <v>40</v>
      </c>
    </row>
    <row r="558" customFormat="false" ht="29.85" hidden="false" customHeight="false" outlineLevel="0" collapsed="false">
      <c r="A558" s="6" t="n">
        <v>557</v>
      </c>
      <c r="B558" s="7" t="s">
        <v>566</v>
      </c>
      <c r="C558" s="7" t="s">
        <v>1166</v>
      </c>
      <c r="D558" s="8" t="s">
        <v>1221</v>
      </c>
      <c r="E558" s="7" t="s">
        <v>1201</v>
      </c>
      <c r="F558" s="6" t="s">
        <v>476</v>
      </c>
      <c r="G558" s="7" t="s">
        <v>43</v>
      </c>
      <c r="H558" s="7" t="s">
        <v>38</v>
      </c>
      <c r="I558" s="7" t="s">
        <v>640</v>
      </c>
      <c r="J558" s="6" t="s">
        <v>528</v>
      </c>
      <c r="K558" s="6" t="n">
        <v>14</v>
      </c>
      <c r="L558" s="7" t="s">
        <v>1169</v>
      </c>
      <c r="M558" s="6" t="n">
        <v>36</v>
      </c>
      <c r="N558" s="7" t="s">
        <v>40</v>
      </c>
    </row>
    <row r="559" customFormat="false" ht="29.85" hidden="false" customHeight="false" outlineLevel="0" collapsed="false">
      <c r="A559" s="6" t="n">
        <v>558</v>
      </c>
      <c r="B559" s="7" t="s">
        <v>566</v>
      </c>
      <c r="C559" s="7" t="s">
        <v>1166</v>
      </c>
      <c r="D559" s="8" t="s">
        <v>1222</v>
      </c>
      <c r="E559" s="7" t="s">
        <v>1204</v>
      </c>
      <c r="F559" s="6" t="s">
        <v>476</v>
      </c>
      <c r="G559" s="7" t="s">
        <v>43</v>
      </c>
      <c r="H559" s="7" t="s">
        <v>38</v>
      </c>
      <c r="I559" s="7" t="s">
        <v>1223</v>
      </c>
      <c r="J559" s="6" t="s">
        <v>528</v>
      </c>
      <c r="K559" s="6" t="n">
        <v>14</v>
      </c>
      <c r="L559" s="7" t="s">
        <v>1169</v>
      </c>
      <c r="M559" s="6" t="n">
        <v>37</v>
      </c>
      <c r="N559" s="7" t="s">
        <v>40</v>
      </c>
    </row>
    <row r="560" customFormat="false" ht="29.85" hidden="false" customHeight="false" outlineLevel="0" collapsed="false">
      <c r="A560" s="6" t="n">
        <v>559</v>
      </c>
      <c r="B560" s="7" t="s">
        <v>566</v>
      </c>
      <c r="C560" s="7" t="s">
        <v>1166</v>
      </c>
      <c r="D560" s="8" t="s">
        <v>1224</v>
      </c>
      <c r="E560" s="7" t="s">
        <v>1193</v>
      </c>
      <c r="F560" s="6" t="s">
        <v>476</v>
      </c>
      <c r="G560" s="7" t="s">
        <v>43</v>
      </c>
      <c r="H560" s="7" t="s">
        <v>38</v>
      </c>
      <c r="I560" s="7" t="s">
        <v>1011</v>
      </c>
      <c r="J560" s="6" t="s">
        <v>528</v>
      </c>
      <c r="K560" s="6" t="n">
        <v>14</v>
      </c>
      <c r="L560" s="7" t="s">
        <v>1169</v>
      </c>
      <c r="M560" s="6" t="n">
        <v>38</v>
      </c>
      <c r="N560" s="7" t="s">
        <v>40</v>
      </c>
    </row>
    <row r="561" customFormat="false" ht="29.85" hidden="false" customHeight="false" outlineLevel="0" collapsed="false">
      <c r="A561" s="6" t="n">
        <v>560</v>
      </c>
      <c r="B561" s="7" t="s">
        <v>566</v>
      </c>
      <c r="C561" s="7" t="s">
        <v>1166</v>
      </c>
      <c r="D561" s="8" t="s">
        <v>1225</v>
      </c>
      <c r="E561" s="7" t="s">
        <v>1226</v>
      </c>
      <c r="F561" s="6" t="s">
        <v>476</v>
      </c>
      <c r="G561" s="7" t="s">
        <v>43</v>
      </c>
      <c r="H561" s="7" t="s">
        <v>38</v>
      </c>
      <c r="I561" s="7" t="s">
        <v>55</v>
      </c>
      <c r="J561" s="6" t="s">
        <v>528</v>
      </c>
      <c r="K561" s="6" t="n">
        <v>14</v>
      </c>
      <c r="L561" s="7" t="s">
        <v>1169</v>
      </c>
      <c r="M561" s="6" t="n">
        <v>39</v>
      </c>
      <c r="N561" s="7" t="s">
        <v>40</v>
      </c>
    </row>
    <row r="562" customFormat="false" ht="44" hidden="false" customHeight="false" outlineLevel="0" collapsed="false">
      <c r="A562" s="6" t="n">
        <v>561</v>
      </c>
      <c r="B562" s="7" t="s">
        <v>566</v>
      </c>
      <c r="C562" s="7" t="s">
        <v>1166</v>
      </c>
      <c r="D562" s="8" t="s">
        <v>1227</v>
      </c>
      <c r="E562" s="7" t="s">
        <v>1228</v>
      </c>
      <c r="F562" s="6" t="s">
        <v>476</v>
      </c>
      <c r="G562" s="7" t="s">
        <v>43</v>
      </c>
      <c r="H562" s="7" t="s">
        <v>38</v>
      </c>
      <c r="I562" s="7" t="s">
        <v>1229</v>
      </c>
      <c r="J562" s="6" t="s">
        <v>528</v>
      </c>
      <c r="K562" s="6" t="n">
        <v>14</v>
      </c>
      <c r="L562" s="7" t="s">
        <v>1169</v>
      </c>
      <c r="M562" s="6" t="n">
        <v>40</v>
      </c>
      <c r="N562" s="7" t="s">
        <v>40</v>
      </c>
    </row>
    <row r="563" customFormat="false" ht="44" hidden="false" customHeight="false" outlineLevel="0" collapsed="false">
      <c r="A563" s="6" t="n">
        <v>562</v>
      </c>
      <c r="B563" s="7" t="s">
        <v>566</v>
      </c>
      <c r="C563" s="7" t="s">
        <v>1166</v>
      </c>
      <c r="D563" s="8" t="s">
        <v>1230</v>
      </c>
      <c r="E563" s="7" t="s">
        <v>1226</v>
      </c>
      <c r="F563" s="6" t="s">
        <v>476</v>
      </c>
      <c r="G563" s="7" t="s">
        <v>43</v>
      </c>
      <c r="H563" s="7" t="s">
        <v>38</v>
      </c>
      <c r="I563" s="7" t="s">
        <v>127</v>
      </c>
      <c r="J563" s="6" t="s">
        <v>528</v>
      </c>
      <c r="K563" s="6" t="n">
        <v>14</v>
      </c>
      <c r="L563" s="7" t="s">
        <v>1169</v>
      </c>
      <c r="M563" s="6" t="n">
        <v>41</v>
      </c>
      <c r="N563" s="7" t="s">
        <v>40</v>
      </c>
    </row>
    <row r="564" customFormat="false" ht="44" hidden="false" customHeight="false" outlineLevel="0" collapsed="false">
      <c r="A564" s="6" t="n">
        <v>563</v>
      </c>
      <c r="B564" s="7" t="s">
        <v>566</v>
      </c>
      <c r="C564" s="7" t="s">
        <v>1166</v>
      </c>
      <c r="D564" s="8" t="s">
        <v>1231</v>
      </c>
      <c r="E564" s="7" t="s">
        <v>1228</v>
      </c>
      <c r="F564" s="6" t="s">
        <v>476</v>
      </c>
      <c r="G564" s="7" t="s">
        <v>43</v>
      </c>
      <c r="H564" s="7" t="s">
        <v>38</v>
      </c>
      <c r="I564" s="7" t="s">
        <v>983</v>
      </c>
      <c r="J564" s="6" t="s">
        <v>528</v>
      </c>
      <c r="K564" s="6" t="n">
        <v>14</v>
      </c>
      <c r="L564" s="7" t="s">
        <v>1169</v>
      </c>
      <c r="M564" s="6" t="n">
        <v>42</v>
      </c>
      <c r="N564" s="7" t="s">
        <v>40</v>
      </c>
    </row>
    <row r="565" customFormat="false" ht="29.85" hidden="false" customHeight="false" outlineLevel="0" collapsed="false">
      <c r="A565" s="6" t="n">
        <v>564</v>
      </c>
      <c r="B565" s="7" t="s">
        <v>566</v>
      </c>
      <c r="C565" s="7" t="s">
        <v>1166</v>
      </c>
      <c r="D565" s="8" t="s">
        <v>1232</v>
      </c>
      <c r="E565" s="7" t="s">
        <v>1233</v>
      </c>
      <c r="F565" s="6" t="s">
        <v>476</v>
      </c>
      <c r="G565" s="7" t="s">
        <v>43</v>
      </c>
      <c r="H565" s="7" t="s">
        <v>38</v>
      </c>
      <c r="I565" s="7" t="s">
        <v>983</v>
      </c>
      <c r="J565" s="6" t="s">
        <v>528</v>
      </c>
      <c r="K565" s="6" t="n">
        <v>14</v>
      </c>
      <c r="L565" s="7" t="s">
        <v>1169</v>
      </c>
      <c r="M565" s="6" t="n">
        <v>43</v>
      </c>
      <c r="N565" s="7" t="s">
        <v>40</v>
      </c>
    </row>
    <row r="566" customFormat="false" ht="44" hidden="false" customHeight="false" outlineLevel="0" collapsed="false">
      <c r="A566" s="6" t="n">
        <v>565</v>
      </c>
      <c r="B566" s="7" t="s">
        <v>566</v>
      </c>
      <c r="C566" s="7" t="s">
        <v>1166</v>
      </c>
      <c r="D566" s="8" t="s">
        <v>1234</v>
      </c>
      <c r="E566" s="7" t="s">
        <v>1235</v>
      </c>
      <c r="F566" s="6" t="s">
        <v>476</v>
      </c>
      <c r="G566" s="7" t="s">
        <v>43</v>
      </c>
      <c r="H566" s="7" t="s">
        <v>38</v>
      </c>
      <c r="I566" s="7" t="s">
        <v>983</v>
      </c>
      <c r="J566" s="6" t="s">
        <v>528</v>
      </c>
      <c r="K566" s="6" t="n">
        <v>14</v>
      </c>
      <c r="L566" s="7" t="s">
        <v>1169</v>
      </c>
      <c r="M566" s="6" t="n">
        <v>44</v>
      </c>
      <c r="N566" s="7" t="s">
        <v>40</v>
      </c>
    </row>
    <row r="567" customFormat="false" ht="44" hidden="false" customHeight="false" outlineLevel="0" collapsed="false">
      <c r="A567" s="6" t="n">
        <v>566</v>
      </c>
      <c r="B567" s="7" t="s">
        <v>566</v>
      </c>
      <c r="C567" s="7" t="s">
        <v>1166</v>
      </c>
      <c r="D567" s="8" t="s">
        <v>1236</v>
      </c>
      <c r="E567" s="7" t="s">
        <v>1213</v>
      </c>
      <c r="F567" s="6" t="s">
        <v>476</v>
      </c>
      <c r="G567" s="7" t="s">
        <v>43</v>
      </c>
      <c r="H567" s="7" t="s">
        <v>38</v>
      </c>
      <c r="I567" s="7" t="s">
        <v>322</v>
      </c>
      <c r="J567" s="6" t="s">
        <v>528</v>
      </c>
      <c r="K567" s="6" t="n">
        <v>14</v>
      </c>
      <c r="L567" s="7" t="s">
        <v>1169</v>
      </c>
      <c r="M567" s="6" t="n">
        <v>45</v>
      </c>
      <c r="N567" s="7" t="s">
        <v>40</v>
      </c>
    </row>
    <row r="568" customFormat="false" ht="44" hidden="false" customHeight="false" outlineLevel="0" collapsed="false">
      <c r="A568" s="6" t="n">
        <v>567</v>
      </c>
      <c r="B568" s="7" t="s">
        <v>566</v>
      </c>
      <c r="C568" s="7" t="s">
        <v>1166</v>
      </c>
      <c r="D568" s="8" t="s">
        <v>1237</v>
      </c>
      <c r="E568" s="7" t="s">
        <v>1233</v>
      </c>
      <c r="F568" s="6" t="s">
        <v>476</v>
      </c>
      <c r="G568" s="7" t="s">
        <v>43</v>
      </c>
      <c r="H568" s="7" t="s">
        <v>38</v>
      </c>
      <c r="I568" s="7" t="s">
        <v>1238</v>
      </c>
      <c r="J568" s="6" t="s">
        <v>528</v>
      </c>
      <c r="K568" s="6" t="n">
        <v>14</v>
      </c>
      <c r="L568" s="7" t="s">
        <v>1169</v>
      </c>
      <c r="M568" s="6" t="n">
        <v>46</v>
      </c>
      <c r="N568" s="7" t="s">
        <v>40</v>
      </c>
    </row>
    <row r="569" customFormat="false" ht="44" hidden="false" customHeight="false" outlineLevel="0" collapsed="false">
      <c r="A569" s="6" t="n">
        <v>568</v>
      </c>
      <c r="B569" s="7" t="s">
        <v>566</v>
      </c>
      <c r="C569" s="7" t="s">
        <v>1166</v>
      </c>
      <c r="D569" s="8" t="s">
        <v>1237</v>
      </c>
      <c r="E569" s="7" t="s">
        <v>1233</v>
      </c>
      <c r="F569" s="6" t="s">
        <v>476</v>
      </c>
      <c r="G569" s="7" t="s">
        <v>43</v>
      </c>
      <c r="H569" s="7" t="s">
        <v>38</v>
      </c>
      <c r="I569" s="7" t="s">
        <v>1238</v>
      </c>
      <c r="J569" s="6" t="s">
        <v>528</v>
      </c>
      <c r="K569" s="6" t="n">
        <v>14</v>
      </c>
      <c r="L569" s="7" t="s">
        <v>1169</v>
      </c>
      <c r="M569" s="6" t="n">
        <v>47</v>
      </c>
      <c r="N569" s="7" t="s">
        <v>40</v>
      </c>
    </row>
    <row r="570" customFormat="false" ht="44" hidden="false" customHeight="false" outlineLevel="0" collapsed="false">
      <c r="A570" s="6" t="n">
        <v>569</v>
      </c>
      <c r="B570" s="7" t="s">
        <v>566</v>
      </c>
      <c r="C570" s="7" t="s">
        <v>1166</v>
      </c>
      <c r="D570" s="8" t="s">
        <v>1239</v>
      </c>
      <c r="E570" s="7" t="s">
        <v>1204</v>
      </c>
      <c r="F570" s="6" t="s">
        <v>476</v>
      </c>
      <c r="G570" s="7" t="s">
        <v>43</v>
      </c>
      <c r="H570" s="7" t="s">
        <v>38</v>
      </c>
      <c r="I570" s="7" t="s">
        <v>1240</v>
      </c>
      <c r="J570" s="6" t="s">
        <v>528</v>
      </c>
      <c r="K570" s="6" t="n">
        <v>14</v>
      </c>
      <c r="L570" s="7" t="s">
        <v>1169</v>
      </c>
      <c r="M570" s="6" t="n">
        <v>48</v>
      </c>
      <c r="N570" s="7" t="s">
        <v>40</v>
      </c>
    </row>
    <row r="571" customFormat="false" ht="44" hidden="false" customHeight="false" outlineLevel="0" collapsed="false">
      <c r="A571" s="6" t="n">
        <v>570</v>
      </c>
      <c r="B571" s="7" t="s">
        <v>566</v>
      </c>
      <c r="C571" s="7" t="s">
        <v>1166</v>
      </c>
      <c r="D571" s="8" t="s">
        <v>1241</v>
      </c>
      <c r="E571" s="7" t="s">
        <v>1213</v>
      </c>
      <c r="F571" s="6" t="s">
        <v>476</v>
      </c>
      <c r="G571" s="7" t="s">
        <v>43</v>
      </c>
      <c r="H571" s="7" t="s">
        <v>38</v>
      </c>
      <c r="I571" s="7" t="s">
        <v>1242</v>
      </c>
      <c r="J571" s="6" t="s">
        <v>528</v>
      </c>
      <c r="K571" s="6" t="n">
        <v>14</v>
      </c>
      <c r="L571" s="7" t="s">
        <v>1169</v>
      </c>
      <c r="M571" s="6" t="n">
        <v>49</v>
      </c>
      <c r="N571" s="7" t="s">
        <v>40</v>
      </c>
    </row>
    <row r="572" customFormat="false" ht="29.85" hidden="false" customHeight="false" outlineLevel="0" collapsed="false">
      <c r="A572" s="6" t="n">
        <v>571</v>
      </c>
      <c r="B572" s="7" t="s">
        <v>644</v>
      </c>
      <c r="C572" s="7" t="s">
        <v>1243</v>
      </c>
      <c r="D572" s="8" t="s">
        <v>1244</v>
      </c>
      <c r="E572" s="7" t="s">
        <v>1245</v>
      </c>
      <c r="F572" s="6" t="s">
        <v>476</v>
      </c>
      <c r="G572" s="7" t="s">
        <v>43</v>
      </c>
      <c r="H572" s="7" t="s">
        <v>20</v>
      </c>
      <c r="I572" s="7" t="s">
        <v>254</v>
      </c>
      <c r="J572" s="6" t="s">
        <v>528</v>
      </c>
      <c r="K572" s="6" t="n">
        <v>15</v>
      </c>
      <c r="L572" s="7" t="s">
        <v>1246</v>
      </c>
      <c r="M572" s="6" t="n">
        <v>1</v>
      </c>
      <c r="N572" s="7" t="s">
        <v>24</v>
      </c>
    </row>
    <row r="573" customFormat="false" ht="29.85" hidden="false" customHeight="false" outlineLevel="0" collapsed="false">
      <c r="A573" s="6" t="n">
        <v>572</v>
      </c>
      <c r="B573" s="7" t="s">
        <v>644</v>
      </c>
      <c r="C573" s="7" t="s">
        <v>1243</v>
      </c>
      <c r="D573" s="8" t="s">
        <v>1247</v>
      </c>
      <c r="E573" s="7" t="s">
        <v>1248</v>
      </c>
      <c r="F573" s="6" t="s">
        <v>476</v>
      </c>
      <c r="G573" s="7" t="s">
        <v>43</v>
      </c>
      <c r="H573" s="7" t="s">
        <v>20</v>
      </c>
      <c r="I573" s="7" t="s">
        <v>88</v>
      </c>
      <c r="J573" s="6" t="s">
        <v>528</v>
      </c>
      <c r="K573" s="6" t="n">
        <v>15</v>
      </c>
      <c r="L573" s="7" t="s">
        <v>1246</v>
      </c>
      <c r="M573" s="6" t="n">
        <v>2</v>
      </c>
      <c r="N573" s="7" t="s">
        <v>24</v>
      </c>
    </row>
    <row r="574" customFormat="false" ht="29.85" hidden="false" customHeight="false" outlineLevel="0" collapsed="false">
      <c r="A574" s="6" t="n">
        <v>573</v>
      </c>
      <c r="B574" s="7" t="s">
        <v>644</v>
      </c>
      <c r="C574" s="7" t="s">
        <v>1243</v>
      </c>
      <c r="D574" s="8" t="s">
        <v>1249</v>
      </c>
      <c r="E574" s="7" t="s">
        <v>1250</v>
      </c>
      <c r="F574" s="6" t="s">
        <v>476</v>
      </c>
      <c r="G574" s="7" t="s">
        <v>43</v>
      </c>
      <c r="H574" s="7" t="s">
        <v>20</v>
      </c>
      <c r="I574" s="7" t="s">
        <v>112</v>
      </c>
      <c r="J574" s="6" t="s">
        <v>528</v>
      </c>
      <c r="K574" s="6" t="n">
        <v>15</v>
      </c>
      <c r="L574" s="7" t="s">
        <v>1246</v>
      </c>
      <c r="M574" s="6" t="n">
        <v>3</v>
      </c>
      <c r="N574" s="7" t="s">
        <v>24</v>
      </c>
    </row>
    <row r="575" customFormat="false" ht="15" hidden="false" customHeight="false" outlineLevel="0" collapsed="false">
      <c r="A575" s="6" t="n">
        <v>574</v>
      </c>
      <c r="B575" s="7" t="s">
        <v>644</v>
      </c>
      <c r="C575" s="7" t="s">
        <v>1243</v>
      </c>
      <c r="D575" s="8" t="s">
        <v>1251</v>
      </c>
      <c r="E575" s="6" t="s">
        <v>1252</v>
      </c>
      <c r="F575" s="6" t="s">
        <v>378</v>
      </c>
      <c r="G575" s="7" t="s">
        <v>27</v>
      </c>
      <c r="H575" s="7" t="s">
        <v>38</v>
      </c>
      <c r="I575" s="7" t="s">
        <v>120</v>
      </c>
      <c r="J575" s="6" t="s">
        <v>528</v>
      </c>
      <c r="K575" s="6" t="n">
        <v>15</v>
      </c>
      <c r="L575" s="7" t="s">
        <v>1246</v>
      </c>
      <c r="M575" s="6" t="n">
        <v>4</v>
      </c>
      <c r="N575" s="7" t="s">
        <v>40</v>
      </c>
    </row>
    <row r="576" customFormat="false" ht="29.85" hidden="false" customHeight="false" outlineLevel="0" collapsed="false">
      <c r="A576" s="6" t="n">
        <v>575</v>
      </c>
      <c r="B576" s="7" t="s">
        <v>644</v>
      </c>
      <c r="C576" s="7" t="s">
        <v>1243</v>
      </c>
      <c r="D576" s="8" t="s">
        <v>1253</v>
      </c>
      <c r="E576" s="7" t="s">
        <v>1254</v>
      </c>
      <c r="F576" s="6" t="s">
        <v>476</v>
      </c>
      <c r="G576" s="7" t="s">
        <v>43</v>
      </c>
      <c r="H576" s="7" t="s">
        <v>38</v>
      </c>
      <c r="I576" s="7" t="s">
        <v>369</v>
      </c>
      <c r="J576" s="6" t="s">
        <v>528</v>
      </c>
      <c r="K576" s="6" t="n">
        <v>15</v>
      </c>
      <c r="L576" s="7" t="s">
        <v>1246</v>
      </c>
      <c r="M576" s="6" t="n">
        <v>5</v>
      </c>
      <c r="N576" s="7" t="s">
        <v>40</v>
      </c>
    </row>
    <row r="577" customFormat="false" ht="29.85" hidden="false" customHeight="false" outlineLevel="0" collapsed="false">
      <c r="A577" s="6" t="n">
        <v>576</v>
      </c>
      <c r="B577" s="7" t="s">
        <v>644</v>
      </c>
      <c r="C577" s="7" t="s">
        <v>1243</v>
      </c>
      <c r="D577" s="8" t="s">
        <v>1255</v>
      </c>
      <c r="E577" s="7" t="s">
        <v>1254</v>
      </c>
      <c r="F577" s="6" t="s">
        <v>476</v>
      </c>
      <c r="G577" s="7" t="s">
        <v>43</v>
      </c>
      <c r="H577" s="7" t="s">
        <v>38</v>
      </c>
      <c r="I577" s="7" t="s">
        <v>1046</v>
      </c>
      <c r="J577" s="6" t="s">
        <v>528</v>
      </c>
      <c r="K577" s="6" t="n">
        <v>15</v>
      </c>
      <c r="L577" s="7" t="s">
        <v>1246</v>
      </c>
      <c r="M577" s="6" t="n">
        <v>6</v>
      </c>
      <c r="N577" s="7" t="s">
        <v>40</v>
      </c>
    </row>
    <row r="578" customFormat="false" ht="29.85" hidden="false" customHeight="false" outlineLevel="0" collapsed="false">
      <c r="A578" s="6" t="n">
        <v>577</v>
      </c>
      <c r="B578" s="7" t="s">
        <v>644</v>
      </c>
      <c r="C578" s="7" t="s">
        <v>1243</v>
      </c>
      <c r="D578" s="8" t="s">
        <v>1256</v>
      </c>
      <c r="E578" s="7" t="s">
        <v>1257</v>
      </c>
      <c r="F578" s="6" t="s">
        <v>476</v>
      </c>
      <c r="G578" s="7" t="s">
        <v>43</v>
      </c>
      <c r="H578" s="7" t="s">
        <v>38</v>
      </c>
      <c r="I578" s="7" t="s">
        <v>309</v>
      </c>
      <c r="J578" s="6" t="s">
        <v>528</v>
      </c>
      <c r="K578" s="6" t="n">
        <v>15</v>
      </c>
      <c r="L578" s="7" t="s">
        <v>1246</v>
      </c>
      <c r="M578" s="6" t="n">
        <v>7</v>
      </c>
      <c r="N578" s="7" t="s">
        <v>40</v>
      </c>
    </row>
    <row r="579" customFormat="false" ht="29.85" hidden="false" customHeight="false" outlineLevel="0" collapsed="false">
      <c r="A579" s="6" t="n">
        <v>578</v>
      </c>
      <c r="B579" s="7" t="s">
        <v>644</v>
      </c>
      <c r="C579" s="7" t="s">
        <v>1243</v>
      </c>
      <c r="D579" s="8" t="s">
        <v>1258</v>
      </c>
      <c r="E579" s="7" t="s">
        <v>1259</v>
      </c>
      <c r="F579" s="6" t="s">
        <v>476</v>
      </c>
      <c r="G579" s="7" t="s">
        <v>43</v>
      </c>
      <c r="H579" s="7" t="s">
        <v>38</v>
      </c>
      <c r="I579" s="7" t="s">
        <v>123</v>
      </c>
      <c r="J579" s="6" t="s">
        <v>528</v>
      </c>
      <c r="K579" s="6" t="n">
        <v>15</v>
      </c>
      <c r="L579" s="7" t="s">
        <v>1246</v>
      </c>
      <c r="M579" s="6" t="n">
        <v>8</v>
      </c>
      <c r="N579" s="7" t="s">
        <v>40</v>
      </c>
    </row>
    <row r="580" customFormat="false" ht="29.85" hidden="false" customHeight="false" outlineLevel="0" collapsed="false">
      <c r="A580" s="6" t="n">
        <v>579</v>
      </c>
      <c r="B580" s="7" t="s">
        <v>644</v>
      </c>
      <c r="C580" s="7" t="s">
        <v>1243</v>
      </c>
      <c r="D580" s="8" t="s">
        <v>1260</v>
      </c>
      <c r="E580" s="7" t="s">
        <v>1261</v>
      </c>
      <c r="F580" s="6" t="s">
        <v>526</v>
      </c>
      <c r="G580" s="7" t="s">
        <v>43</v>
      </c>
      <c r="H580" s="7" t="s">
        <v>38</v>
      </c>
      <c r="I580" s="7" t="s">
        <v>1124</v>
      </c>
      <c r="J580" s="6" t="s">
        <v>528</v>
      </c>
      <c r="K580" s="6" t="n">
        <v>15</v>
      </c>
      <c r="L580" s="7" t="s">
        <v>1246</v>
      </c>
      <c r="M580" s="6" t="n">
        <v>9</v>
      </c>
      <c r="N580" s="7" t="s">
        <v>40</v>
      </c>
    </row>
    <row r="581" customFormat="false" ht="44" hidden="false" customHeight="false" outlineLevel="0" collapsed="false">
      <c r="A581" s="6" t="n">
        <v>580</v>
      </c>
      <c r="B581" s="7" t="s">
        <v>644</v>
      </c>
      <c r="C581" s="7" t="s">
        <v>1243</v>
      </c>
      <c r="D581" s="8" t="s">
        <v>1262</v>
      </c>
      <c r="E581" s="7" t="s">
        <v>1263</v>
      </c>
      <c r="F581" s="6" t="s">
        <v>476</v>
      </c>
      <c r="G581" s="7" t="s">
        <v>43</v>
      </c>
      <c r="H581" s="7" t="s">
        <v>38</v>
      </c>
      <c r="I581" s="7" t="s">
        <v>687</v>
      </c>
      <c r="J581" s="6" t="s">
        <v>528</v>
      </c>
      <c r="K581" s="6" t="n">
        <v>15</v>
      </c>
      <c r="L581" s="7" t="s">
        <v>1246</v>
      </c>
      <c r="M581" s="6" t="n">
        <v>10</v>
      </c>
      <c r="N581" s="7" t="s">
        <v>40</v>
      </c>
    </row>
    <row r="582" customFormat="false" ht="44" hidden="false" customHeight="false" outlineLevel="0" collapsed="false">
      <c r="A582" s="6" t="n">
        <v>581</v>
      </c>
      <c r="B582" s="7" t="s">
        <v>644</v>
      </c>
      <c r="C582" s="7" t="s">
        <v>1243</v>
      </c>
      <c r="D582" s="8" t="s">
        <v>1264</v>
      </c>
      <c r="E582" s="7" t="s">
        <v>1265</v>
      </c>
      <c r="F582" s="6" t="s">
        <v>476</v>
      </c>
      <c r="G582" s="7" t="s">
        <v>43</v>
      </c>
      <c r="H582" s="7" t="s">
        <v>38</v>
      </c>
      <c r="I582" s="7" t="s">
        <v>384</v>
      </c>
      <c r="J582" s="6" t="s">
        <v>528</v>
      </c>
      <c r="K582" s="6" t="n">
        <v>15</v>
      </c>
      <c r="L582" s="7" t="s">
        <v>1246</v>
      </c>
      <c r="M582" s="6" t="n">
        <v>11</v>
      </c>
      <c r="N582" s="7" t="s">
        <v>40</v>
      </c>
    </row>
    <row r="583" customFormat="false" ht="44" hidden="false" customHeight="false" outlineLevel="0" collapsed="false">
      <c r="A583" s="6" t="n">
        <v>582</v>
      </c>
      <c r="B583" s="7" t="s">
        <v>644</v>
      </c>
      <c r="C583" s="7" t="s">
        <v>1243</v>
      </c>
      <c r="D583" s="8" t="s">
        <v>1266</v>
      </c>
      <c r="E583" s="7" t="s">
        <v>1267</v>
      </c>
      <c r="F583" s="6" t="s">
        <v>476</v>
      </c>
      <c r="G583" s="7" t="s">
        <v>43</v>
      </c>
      <c r="H583" s="7" t="s">
        <v>38</v>
      </c>
      <c r="I583" s="7" t="s">
        <v>1268</v>
      </c>
      <c r="J583" s="6" t="s">
        <v>528</v>
      </c>
      <c r="K583" s="6" t="n">
        <v>15</v>
      </c>
      <c r="L583" s="7" t="s">
        <v>1246</v>
      </c>
      <c r="M583" s="6" t="n">
        <v>12</v>
      </c>
      <c r="N583" s="7" t="s">
        <v>40</v>
      </c>
    </row>
    <row r="584" customFormat="false" ht="44" hidden="false" customHeight="false" outlineLevel="0" collapsed="false">
      <c r="A584" s="6" t="n">
        <v>583</v>
      </c>
      <c r="B584" s="7" t="s">
        <v>644</v>
      </c>
      <c r="C584" s="7" t="s">
        <v>1243</v>
      </c>
      <c r="D584" s="8" t="s">
        <v>1269</v>
      </c>
      <c r="E584" s="7" t="s">
        <v>1261</v>
      </c>
      <c r="F584" s="6" t="s">
        <v>526</v>
      </c>
      <c r="G584" s="7" t="s">
        <v>43</v>
      </c>
      <c r="H584" s="7" t="s">
        <v>38</v>
      </c>
      <c r="I584" s="7" t="s">
        <v>1270</v>
      </c>
      <c r="J584" s="6" t="s">
        <v>528</v>
      </c>
      <c r="K584" s="6" t="n">
        <v>15</v>
      </c>
      <c r="L584" s="7" t="s">
        <v>1246</v>
      </c>
      <c r="M584" s="6" t="n">
        <v>13</v>
      </c>
      <c r="N584" s="7" t="s">
        <v>40</v>
      </c>
    </row>
    <row r="585" customFormat="false" ht="41" hidden="false" customHeight="false" outlineLevel="0" collapsed="false">
      <c r="A585" s="6" t="n">
        <v>584</v>
      </c>
      <c r="B585" s="7" t="s">
        <v>644</v>
      </c>
      <c r="C585" s="7" t="s">
        <v>1243</v>
      </c>
      <c r="D585" s="8" t="s">
        <v>1271</v>
      </c>
      <c r="E585" s="7" t="s">
        <v>1272</v>
      </c>
      <c r="F585" s="6" t="s">
        <v>37</v>
      </c>
      <c r="G585" s="7" t="s">
        <v>27</v>
      </c>
      <c r="H585" s="10" t="s">
        <v>389</v>
      </c>
      <c r="I585" s="7" t="s">
        <v>1273</v>
      </c>
      <c r="J585" s="6" t="s">
        <v>528</v>
      </c>
      <c r="K585" s="6" t="n">
        <v>15</v>
      </c>
      <c r="L585" s="7" t="s">
        <v>1246</v>
      </c>
      <c r="M585" s="6" t="n">
        <v>14</v>
      </c>
      <c r="N585" s="7" t="s">
        <v>40</v>
      </c>
    </row>
    <row r="586" customFormat="false" ht="58.2" hidden="false" customHeight="false" outlineLevel="0" collapsed="false">
      <c r="A586" s="6" t="n">
        <v>585</v>
      </c>
      <c r="B586" s="7" t="s">
        <v>644</v>
      </c>
      <c r="C586" s="7" t="s">
        <v>1243</v>
      </c>
      <c r="D586" s="8" t="s">
        <v>1274</v>
      </c>
      <c r="E586" s="6" t="s">
        <v>1252</v>
      </c>
      <c r="F586" s="6" t="s">
        <v>378</v>
      </c>
      <c r="G586" s="7" t="s">
        <v>27</v>
      </c>
      <c r="H586" s="10" t="s">
        <v>389</v>
      </c>
      <c r="I586" s="7" t="s">
        <v>1275</v>
      </c>
      <c r="J586" s="6" t="s">
        <v>528</v>
      </c>
      <c r="K586" s="6" t="n">
        <v>15</v>
      </c>
      <c r="L586" s="7" t="s">
        <v>1246</v>
      </c>
      <c r="M586" s="6" t="n">
        <v>15</v>
      </c>
      <c r="N586" s="7" t="s">
        <v>40</v>
      </c>
    </row>
    <row r="587" customFormat="false" ht="15" hidden="false" customHeight="false" outlineLevel="0" collapsed="false">
      <c r="A587" s="6" t="n">
        <v>586</v>
      </c>
      <c r="B587" s="7" t="s">
        <v>1276</v>
      </c>
      <c r="C587" s="7" t="s">
        <v>1277</v>
      </c>
      <c r="D587" s="8" t="s">
        <v>1278</v>
      </c>
      <c r="E587" s="7" t="s">
        <v>1279</v>
      </c>
      <c r="F587" s="6" t="s">
        <v>476</v>
      </c>
      <c r="G587" s="7" t="s">
        <v>43</v>
      </c>
      <c r="H587" s="7" t="s">
        <v>20</v>
      </c>
      <c r="I587" s="7" t="s">
        <v>1280</v>
      </c>
      <c r="J587" s="6" t="s">
        <v>1281</v>
      </c>
      <c r="K587" s="6" t="n">
        <v>1</v>
      </c>
      <c r="L587" s="7" t="s">
        <v>1282</v>
      </c>
      <c r="M587" s="6" t="n">
        <v>1</v>
      </c>
      <c r="N587" s="7" t="s">
        <v>24</v>
      </c>
    </row>
    <row r="588" customFormat="false" ht="15" hidden="false" customHeight="false" outlineLevel="0" collapsed="false">
      <c r="A588" s="6" t="n">
        <v>587</v>
      </c>
      <c r="B588" s="7" t="s">
        <v>1276</v>
      </c>
      <c r="C588" s="7" t="s">
        <v>1277</v>
      </c>
      <c r="D588" s="8" t="s">
        <v>1283</v>
      </c>
      <c r="E588" s="6" t="s">
        <v>1284</v>
      </c>
      <c r="F588" s="6" t="s">
        <v>476</v>
      </c>
      <c r="G588" s="7" t="s">
        <v>43</v>
      </c>
      <c r="H588" s="7" t="s">
        <v>20</v>
      </c>
      <c r="I588" s="7" t="s">
        <v>1285</v>
      </c>
      <c r="J588" s="6" t="s">
        <v>1281</v>
      </c>
      <c r="K588" s="6" t="n">
        <v>1</v>
      </c>
      <c r="L588" s="7" t="s">
        <v>1282</v>
      </c>
      <c r="M588" s="6" t="n">
        <v>2</v>
      </c>
      <c r="N588" s="7" t="s">
        <v>24</v>
      </c>
    </row>
    <row r="589" customFormat="false" ht="15" hidden="false" customHeight="false" outlineLevel="0" collapsed="false">
      <c r="A589" s="6" t="n">
        <v>588</v>
      </c>
      <c r="B589" s="7" t="s">
        <v>1276</v>
      </c>
      <c r="C589" s="7" t="s">
        <v>1277</v>
      </c>
      <c r="D589" s="8" t="s">
        <v>1286</v>
      </c>
      <c r="E589" s="7" t="s">
        <v>1287</v>
      </c>
      <c r="F589" s="6" t="s">
        <v>476</v>
      </c>
      <c r="G589" s="7" t="s">
        <v>43</v>
      </c>
      <c r="H589" s="7" t="s">
        <v>20</v>
      </c>
      <c r="I589" s="7" t="s">
        <v>1288</v>
      </c>
      <c r="J589" s="6" t="s">
        <v>1281</v>
      </c>
      <c r="K589" s="6" t="n">
        <v>1</v>
      </c>
      <c r="L589" s="7" t="s">
        <v>1282</v>
      </c>
      <c r="M589" s="6" t="n">
        <v>3</v>
      </c>
      <c r="N589" s="7" t="s">
        <v>24</v>
      </c>
    </row>
    <row r="590" customFormat="false" ht="15" hidden="false" customHeight="false" outlineLevel="0" collapsed="false">
      <c r="A590" s="6" t="n">
        <v>589</v>
      </c>
      <c r="B590" s="7" t="s">
        <v>1276</v>
      </c>
      <c r="C590" s="7" t="s">
        <v>1277</v>
      </c>
      <c r="D590" s="8" t="s">
        <v>1289</v>
      </c>
      <c r="E590" s="6" t="s">
        <v>1290</v>
      </c>
      <c r="F590" s="6" t="s">
        <v>476</v>
      </c>
      <c r="G590" s="7" t="s">
        <v>43</v>
      </c>
      <c r="H590" s="7" t="s">
        <v>20</v>
      </c>
      <c r="I590" s="7" t="s">
        <v>1291</v>
      </c>
      <c r="J590" s="6" t="s">
        <v>1281</v>
      </c>
      <c r="K590" s="6" t="n">
        <v>1</v>
      </c>
      <c r="L590" s="7" t="s">
        <v>1282</v>
      </c>
      <c r="M590" s="6" t="n">
        <v>4</v>
      </c>
      <c r="N590" s="7" t="s">
        <v>24</v>
      </c>
    </row>
    <row r="591" customFormat="false" ht="15" hidden="false" customHeight="false" outlineLevel="0" collapsed="false">
      <c r="A591" s="6" t="n">
        <v>590</v>
      </c>
      <c r="B591" s="7" t="s">
        <v>1276</v>
      </c>
      <c r="C591" s="7" t="s">
        <v>1277</v>
      </c>
      <c r="D591" s="8" t="s">
        <v>1292</v>
      </c>
      <c r="E591" s="7" t="s">
        <v>1293</v>
      </c>
      <c r="F591" s="6" t="s">
        <v>37</v>
      </c>
      <c r="G591" s="7" t="s">
        <v>27</v>
      </c>
      <c r="H591" s="7" t="s">
        <v>38</v>
      </c>
      <c r="I591" s="7" t="s">
        <v>1294</v>
      </c>
      <c r="J591" s="6" t="s">
        <v>1281</v>
      </c>
      <c r="K591" s="6" t="n">
        <v>1</v>
      </c>
      <c r="L591" s="7" t="s">
        <v>1282</v>
      </c>
      <c r="M591" s="6" t="n">
        <v>5</v>
      </c>
      <c r="N591" s="7" t="s">
        <v>40</v>
      </c>
    </row>
    <row r="592" customFormat="false" ht="15" hidden="false" customHeight="false" outlineLevel="0" collapsed="false">
      <c r="A592" s="6" t="n">
        <v>591</v>
      </c>
      <c r="B592" s="7" t="s">
        <v>1276</v>
      </c>
      <c r="C592" s="7" t="s">
        <v>1277</v>
      </c>
      <c r="D592" s="8" t="s">
        <v>1295</v>
      </c>
      <c r="E592" s="7" t="s">
        <v>1287</v>
      </c>
      <c r="F592" s="6" t="s">
        <v>476</v>
      </c>
      <c r="G592" s="7" t="s">
        <v>43</v>
      </c>
      <c r="H592" s="7" t="s">
        <v>20</v>
      </c>
      <c r="I592" s="7" t="s">
        <v>28</v>
      </c>
      <c r="J592" s="6" t="s">
        <v>1281</v>
      </c>
      <c r="K592" s="6" t="n">
        <v>1</v>
      </c>
      <c r="L592" s="7" t="s">
        <v>1282</v>
      </c>
      <c r="M592" s="6" t="n">
        <v>6</v>
      </c>
      <c r="N592" s="7" t="s">
        <v>24</v>
      </c>
    </row>
    <row r="593" customFormat="false" ht="15" hidden="false" customHeight="false" outlineLevel="0" collapsed="false">
      <c r="A593" s="6" t="n">
        <v>592</v>
      </c>
      <c r="B593" s="7" t="s">
        <v>1276</v>
      </c>
      <c r="C593" s="7" t="s">
        <v>1277</v>
      </c>
      <c r="D593" s="8" t="s">
        <v>1296</v>
      </c>
      <c r="E593" s="6" t="s">
        <v>1284</v>
      </c>
      <c r="F593" s="6" t="s">
        <v>476</v>
      </c>
      <c r="G593" s="7" t="s">
        <v>43</v>
      </c>
      <c r="H593" s="7" t="s">
        <v>20</v>
      </c>
      <c r="I593" s="7" t="s">
        <v>532</v>
      </c>
      <c r="J593" s="6" t="s">
        <v>1281</v>
      </c>
      <c r="K593" s="6" t="n">
        <v>1</v>
      </c>
      <c r="L593" s="7" t="s">
        <v>1282</v>
      </c>
      <c r="M593" s="6" t="n">
        <v>7</v>
      </c>
      <c r="N593" s="7" t="s">
        <v>24</v>
      </c>
    </row>
    <row r="594" customFormat="false" ht="15" hidden="false" customHeight="false" outlineLevel="0" collapsed="false">
      <c r="A594" s="6" t="n">
        <v>593</v>
      </c>
      <c r="B594" s="7" t="s">
        <v>1276</v>
      </c>
      <c r="C594" s="7" t="s">
        <v>1277</v>
      </c>
      <c r="D594" s="8" t="s">
        <v>1297</v>
      </c>
      <c r="E594" s="6" t="s">
        <v>1298</v>
      </c>
      <c r="F594" s="6" t="s">
        <v>476</v>
      </c>
      <c r="G594" s="7" t="s">
        <v>43</v>
      </c>
      <c r="H594" s="7" t="s">
        <v>20</v>
      </c>
      <c r="I594" s="7" t="s">
        <v>1299</v>
      </c>
      <c r="J594" s="6" t="s">
        <v>1281</v>
      </c>
      <c r="K594" s="6" t="n">
        <v>1</v>
      </c>
      <c r="L594" s="7" t="s">
        <v>1282</v>
      </c>
      <c r="M594" s="6" t="n">
        <v>8</v>
      </c>
      <c r="N594" s="7" t="s">
        <v>24</v>
      </c>
    </row>
    <row r="595" customFormat="false" ht="15" hidden="false" customHeight="false" outlineLevel="0" collapsed="false">
      <c r="A595" s="6" t="n">
        <v>594</v>
      </c>
      <c r="B595" s="7" t="s">
        <v>1276</v>
      </c>
      <c r="C595" s="7" t="s">
        <v>1277</v>
      </c>
      <c r="D595" s="8" t="s">
        <v>1300</v>
      </c>
      <c r="E595" s="6" t="s">
        <v>1290</v>
      </c>
      <c r="F595" s="6" t="s">
        <v>476</v>
      </c>
      <c r="G595" s="7" t="s">
        <v>43</v>
      </c>
      <c r="H595" s="7" t="s">
        <v>20</v>
      </c>
      <c r="I595" s="7" t="s">
        <v>540</v>
      </c>
      <c r="J595" s="6" t="s">
        <v>1281</v>
      </c>
      <c r="K595" s="6" t="n">
        <v>1</v>
      </c>
      <c r="L595" s="7" t="s">
        <v>1282</v>
      </c>
      <c r="M595" s="6" t="n">
        <v>9</v>
      </c>
      <c r="N595" s="7" t="s">
        <v>24</v>
      </c>
    </row>
    <row r="596" customFormat="false" ht="15" hidden="false" customHeight="false" outlineLevel="0" collapsed="false">
      <c r="A596" s="6" t="n">
        <v>595</v>
      </c>
      <c r="B596" s="7" t="s">
        <v>1276</v>
      </c>
      <c r="C596" s="7" t="s">
        <v>1277</v>
      </c>
      <c r="D596" s="8" t="s">
        <v>1301</v>
      </c>
      <c r="E596" s="7" t="s">
        <v>1302</v>
      </c>
      <c r="F596" s="6" t="s">
        <v>476</v>
      </c>
      <c r="G596" s="7" t="s">
        <v>43</v>
      </c>
      <c r="H596" s="7" t="s">
        <v>38</v>
      </c>
      <c r="I596" s="7" t="s">
        <v>1294</v>
      </c>
      <c r="J596" s="6" t="s">
        <v>1281</v>
      </c>
      <c r="K596" s="6" t="n">
        <v>1</v>
      </c>
      <c r="L596" s="7" t="s">
        <v>1282</v>
      </c>
      <c r="M596" s="6" t="n">
        <v>10</v>
      </c>
      <c r="N596" s="7" t="s">
        <v>40</v>
      </c>
    </row>
    <row r="597" customFormat="false" ht="15" hidden="false" customHeight="false" outlineLevel="0" collapsed="false">
      <c r="A597" s="6" t="n">
        <v>596</v>
      </c>
      <c r="B597" s="7" t="s">
        <v>1276</v>
      </c>
      <c r="C597" s="7" t="s">
        <v>1277</v>
      </c>
      <c r="D597" s="8" t="s">
        <v>1303</v>
      </c>
      <c r="E597" s="7" t="s">
        <v>1304</v>
      </c>
      <c r="F597" s="6" t="s">
        <v>476</v>
      </c>
      <c r="G597" s="7" t="s">
        <v>43</v>
      </c>
      <c r="H597" s="7" t="s">
        <v>20</v>
      </c>
      <c r="I597" s="7" t="s">
        <v>540</v>
      </c>
      <c r="J597" s="6" t="s">
        <v>1281</v>
      </c>
      <c r="K597" s="6" t="n">
        <v>1</v>
      </c>
      <c r="L597" s="7" t="s">
        <v>1282</v>
      </c>
      <c r="M597" s="6" t="n">
        <v>11</v>
      </c>
      <c r="N597" s="7" t="s">
        <v>24</v>
      </c>
    </row>
    <row r="598" customFormat="false" ht="15" hidden="false" customHeight="false" outlineLevel="0" collapsed="false">
      <c r="A598" s="6" t="n">
        <v>597</v>
      </c>
      <c r="B598" s="7" t="s">
        <v>1276</v>
      </c>
      <c r="C598" s="7" t="s">
        <v>1277</v>
      </c>
      <c r="D598" s="8" t="s">
        <v>1305</v>
      </c>
      <c r="E598" s="6" t="s">
        <v>1306</v>
      </c>
      <c r="F598" s="6" t="s">
        <v>476</v>
      </c>
      <c r="G598" s="7" t="s">
        <v>43</v>
      </c>
      <c r="H598" s="7" t="s">
        <v>20</v>
      </c>
      <c r="I598" s="7" t="s">
        <v>750</v>
      </c>
      <c r="J598" s="6" t="s">
        <v>1281</v>
      </c>
      <c r="K598" s="6" t="n">
        <v>1</v>
      </c>
      <c r="L598" s="7" t="s">
        <v>1282</v>
      </c>
      <c r="M598" s="6" t="n">
        <v>12</v>
      </c>
      <c r="N598" s="7" t="s">
        <v>24</v>
      </c>
    </row>
    <row r="599" customFormat="false" ht="15" hidden="false" customHeight="false" outlineLevel="0" collapsed="false">
      <c r="A599" s="6" t="n">
        <v>598</v>
      </c>
      <c r="B599" s="7" t="s">
        <v>1276</v>
      </c>
      <c r="C599" s="7" t="s">
        <v>1277</v>
      </c>
      <c r="D599" s="8" t="s">
        <v>1307</v>
      </c>
      <c r="E599" s="7" t="s">
        <v>1308</v>
      </c>
      <c r="F599" s="6" t="s">
        <v>476</v>
      </c>
      <c r="G599" s="7" t="s">
        <v>43</v>
      </c>
      <c r="H599" s="7" t="s">
        <v>20</v>
      </c>
      <c r="I599" s="7" t="s">
        <v>1062</v>
      </c>
      <c r="J599" s="6" t="s">
        <v>1281</v>
      </c>
      <c r="K599" s="6" t="n">
        <v>1</v>
      </c>
      <c r="L599" s="7" t="s">
        <v>1282</v>
      </c>
      <c r="M599" s="6" t="n">
        <v>13</v>
      </c>
      <c r="N599" s="7" t="s">
        <v>24</v>
      </c>
    </row>
    <row r="600" customFormat="false" ht="15" hidden="false" customHeight="false" outlineLevel="0" collapsed="false">
      <c r="A600" s="6" t="n">
        <v>599</v>
      </c>
      <c r="B600" s="7" t="s">
        <v>1276</v>
      </c>
      <c r="C600" s="7" t="s">
        <v>1277</v>
      </c>
      <c r="D600" s="8" t="s">
        <v>1309</v>
      </c>
      <c r="E600" s="7" t="s">
        <v>1310</v>
      </c>
      <c r="F600" s="6" t="s">
        <v>476</v>
      </c>
      <c r="G600" s="7" t="s">
        <v>43</v>
      </c>
      <c r="H600" s="7" t="s">
        <v>20</v>
      </c>
      <c r="I600" s="7" t="s">
        <v>172</v>
      </c>
      <c r="J600" s="6" t="s">
        <v>1281</v>
      </c>
      <c r="K600" s="6" t="n">
        <v>1</v>
      </c>
      <c r="L600" s="7" t="s">
        <v>1282</v>
      </c>
      <c r="M600" s="6" t="n">
        <v>14</v>
      </c>
      <c r="N600" s="7" t="s">
        <v>24</v>
      </c>
    </row>
    <row r="601" customFormat="false" ht="15" hidden="false" customHeight="false" outlineLevel="0" collapsed="false">
      <c r="A601" s="6" t="n">
        <v>600</v>
      </c>
      <c r="B601" s="7" t="s">
        <v>1276</v>
      </c>
      <c r="C601" s="7" t="s">
        <v>1277</v>
      </c>
      <c r="D601" s="8" t="s">
        <v>1311</v>
      </c>
      <c r="E601" s="7" t="s">
        <v>1312</v>
      </c>
      <c r="F601" s="6" t="s">
        <v>37</v>
      </c>
      <c r="G601" s="7" t="s">
        <v>27</v>
      </c>
      <c r="H601" s="7" t="s">
        <v>38</v>
      </c>
      <c r="I601" s="7" t="s">
        <v>1313</v>
      </c>
      <c r="J601" s="6" t="s">
        <v>1281</v>
      </c>
      <c r="K601" s="6" t="n">
        <v>1</v>
      </c>
      <c r="L601" s="7" t="s">
        <v>1282</v>
      </c>
      <c r="M601" s="6" t="n">
        <v>15</v>
      </c>
      <c r="N601" s="7" t="s">
        <v>40</v>
      </c>
    </row>
    <row r="602" customFormat="false" ht="15" hidden="false" customHeight="false" outlineLevel="0" collapsed="false">
      <c r="A602" s="6" t="n">
        <v>601</v>
      </c>
      <c r="B602" s="7" t="s">
        <v>1276</v>
      </c>
      <c r="C602" s="7" t="s">
        <v>1277</v>
      </c>
      <c r="D602" s="8" t="s">
        <v>1314</v>
      </c>
      <c r="E602" s="7" t="s">
        <v>1315</v>
      </c>
      <c r="F602" s="6" t="s">
        <v>476</v>
      </c>
      <c r="G602" s="7" t="s">
        <v>43</v>
      </c>
      <c r="H602" s="7" t="s">
        <v>20</v>
      </c>
      <c r="I602" s="7" t="s">
        <v>595</v>
      </c>
      <c r="J602" s="6" t="s">
        <v>1281</v>
      </c>
      <c r="K602" s="6" t="n">
        <v>1</v>
      </c>
      <c r="L602" s="7" t="s">
        <v>1282</v>
      </c>
      <c r="M602" s="6" t="n">
        <v>16</v>
      </c>
      <c r="N602" s="7" t="s">
        <v>24</v>
      </c>
    </row>
    <row r="603" customFormat="false" ht="15" hidden="false" customHeight="false" outlineLevel="0" collapsed="false">
      <c r="A603" s="6" t="n">
        <v>602</v>
      </c>
      <c r="B603" s="7" t="s">
        <v>1276</v>
      </c>
      <c r="C603" s="7" t="s">
        <v>1277</v>
      </c>
      <c r="D603" s="8" t="s">
        <v>1316</v>
      </c>
      <c r="E603" s="7" t="s">
        <v>1317</v>
      </c>
      <c r="F603" s="6" t="s">
        <v>476</v>
      </c>
      <c r="G603" s="7" t="s">
        <v>43</v>
      </c>
      <c r="H603" s="7" t="s">
        <v>20</v>
      </c>
      <c r="I603" s="7" t="s">
        <v>135</v>
      </c>
      <c r="J603" s="6" t="s">
        <v>1281</v>
      </c>
      <c r="K603" s="6" t="n">
        <v>1</v>
      </c>
      <c r="L603" s="7" t="s">
        <v>1282</v>
      </c>
      <c r="M603" s="6" t="n">
        <v>17</v>
      </c>
      <c r="N603" s="7" t="s">
        <v>24</v>
      </c>
    </row>
    <row r="604" customFormat="false" ht="15" hidden="false" customHeight="false" outlineLevel="0" collapsed="false">
      <c r="A604" s="6" t="n">
        <v>603</v>
      </c>
      <c r="B604" s="7" t="s">
        <v>1276</v>
      </c>
      <c r="C604" s="7" t="s">
        <v>1277</v>
      </c>
      <c r="D604" s="8" t="s">
        <v>1318</v>
      </c>
      <c r="E604" s="7" t="s">
        <v>1319</v>
      </c>
      <c r="F604" s="6" t="s">
        <v>476</v>
      </c>
      <c r="G604" s="7" t="s">
        <v>43</v>
      </c>
      <c r="H604" s="7" t="s">
        <v>20</v>
      </c>
      <c r="I604" s="7" t="s">
        <v>1320</v>
      </c>
      <c r="J604" s="6" t="s">
        <v>1281</v>
      </c>
      <c r="K604" s="6" t="n">
        <v>1</v>
      </c>
      <c r="L604" s="7" t="s">
        <v>1282</v>
      </c>
      <c r="M604" s="6" t="n">
        <v>18</v>
      </c>
      <c r="N604" s="7" t="s">
        <v>24</v>
      </c>
    </row>
    <row r="605" customFormat="false" ht="29.85" hidden="false" customHeight="false" outlineLevel="0" collapsed="false">
      <c r="A605" s="6" t="n">
        <v>604</v>
      </c>
      <c r="B605" s="7" t="s">
        <v>1276</v>
      </c>
      <c r="C605" s="7" t="s">
        <v>1277</v>
      </c>
      <c r="D605" s="8" t="s">
        <v>1321</v>
      </c>
      <c r="E605" s="7" t="s">
        <v>1322</v>
      </c>
      <c r="F605" s="6" t="s">
        <v>476</v>
      </c>
      <c r="G605" s="7" t="s">
        <v>43</v>
      </c>
      <c r="H605" s="7" t="s">
        <v>20</v>
      </c>
      <c r="I605" s="7" t="s">
        <v>243</v>
      </c>
      <c r="J605" s="6" t="s">
        <v>1281</v>
      </c>
      <c r="K605" s="6" t="n">
        <v>1</v>
      </c>
      <c r="L605" s="7" t="s">
        <v>1282</v>
      </c>
      <c r="M605" s="6" t="n">
        <v>19</v>
      </c>
      <c r="N605" s="7" t="s">
        <v>24</v>
      </c>
    </row>
    <row r="606" customFormat="false" ht="15" hidden="false" customHeight="false" outlineLevel="0" collapsed="false">
      <c r="A606" s="6" t="n">
        <v>605</v>
      </c>
      <c r="B606" s="7" t="s">
        <v>1276</v>
      </c>
      <c r="C606" s="7" t="s">
        <v>1277</v>
      </c>
      <c r="D606" s="8" t="s">
        <v>1323</v>
      </c>
      <c r="E606" s="7" t="s">
        <v>1324</v>
      </c>
      <c r="F606" s="6" t="s">
        <v>37</v>
      </c>
      <c r="G606" s="7" t="s">
        <v>27</v>
      </c>
      <c r="H606" s="7" t="s">
        <v>38</v>
      </c>
      <c r="I606" s="7" t="s">
        <v>1313</v>
      </c>
      <c r="J606" s="6" t="s">
        <v>1281</v>
      </c>
      <c r="K606" s="6" t="n">
        <v>1</v>
      </c>
      <c r="L606" s="7" t="s">
        <v>1282</v>
      </c>
      <c r="M606" s="6" t="n">
        <v>20</v>
      </c>
      <c r="N606" s="7" t="s">
        <v>40</v>
      </c>
    </row>
    <row r="607" customFormat="false" ht="29.85" hidden="false" customHeight="false" outlineLevel="0" collapsed="false">
      <c r="A607" s="6" t="n">
        <v>606</v>
      </c>
      <c r="B607" s="7" t="s">
        <v>1276</v>
      </c>
      <c r="C607" s="7" t="s">
        <v>1277</v>
      </c>
      <c r="D607" s="8" t="s">
        <v>1325</v>
      </c>
      <c r="E607" s="7" t="s">
        <v>1287</v>
      </c>
      <c r="F607" s="6" t="s">
        <v>476</v>
      </c>
      <c r="G607" s="7" t="s">
        <v>43</v>
      </c>
      <c r="H607" s="7" t="s">
        <v>20</v>
      </c>
      <c r="I607" s="7" t="s">
        <v>192</v>
      </c>
      <c r="J607" s="6" t="s">
        <v>1281</v>
      </c>
      <c r="K607" s="6" t="n">
        <v>1</v>
      </c>
      <c r="L607" s="7" t="s">
        <v>1282</v>
      </c>
      <c r="M607" s="6" t="n">
        <v>21</v>
      </c>
      <c r="N607" s="7" t="s">
        <v>24</v>
      </c>
    </row>
    <row r="608" customFormat="false" ht="29.85" hidden="false" customHeight="false" outlineLevel="0" collapsed="false">
      <c r="A608" s="6" t="n">
        <v>607</v>
      </c>
      <c r="B608" s="7" t="s">
        <v>1276</v>
      </c>
      <c r="C608" s="7" t="s">
        <v>1277</v>
      </c>
      <c r="D608" s="8" t="s">
        <v>1326</v>
      </c>
      <c r="E608" s="7" t="s">
        <v>1327</v>
      </c>
      <c r="F608" s="6" t="s">
        <v>476</v>
      </c>
      <c r="G608" s="7" t="s">
        <v>43</v>
      </c>
      <c r="H608" s="7" t="s">
        <v>20</v>
      </c>
      <c r="I608" s="7" t="s">
        <v>192</v>
      </c>
      <c r="J608" s="6" t="s">
        <v>1281</v>
      </c>
      <c r="K608" s="6" t="n">
        <v>1</v>
      </c>
      <c r="L608" s="7" t="s">
        <v>1282</v>
      </c>
      <c r="M608" s="6" t="n">
        <v>22</v>
      </c>
      <c r="N608" s="7" t="s">
        <v>24</v>
      </c>
    </row>
    <row r="609" customFormat="false" ht="29.85" hidden="false" customHeight="false" outlineLevel="0" collapsed="false">
      <c r="A609" s="6" t="n">
        <v>608</v>
      </c>
      <c r="B609" s="7" t="s">
        <v>1276</v>
      </c>
      <c r="C609" s="7" t="s">
        <v>1277</v>
      </c>
      <c r="D609" s="8" t="s">
        <v>1328</v>
      </c>
      <c r="E609" s="7" t="s">
        <v>1277</v>
      </c>
      <c r="F609" s="6" t="s">
        <v>476</v>
      </c>
      <c r="G609" s="7" t="s">
        <v>43</v>
      </c>
      <c r="H609" s="7" t="s">
        <v>20</v>
      </c>
      <c r="I609" s="7" t="s">
        <v>254</v>
      </c>
      <c r="J609" s="6" t="s">
        <v>1281</v>
      </c>
      <c r="K609" s="6" t="n">
        <v>1</v>
      </c>
      <c r="L609" s="7" t="s">
        <v>1282</v>
      </c>
      <c r="M609" s="6" t="n">
        <v>23</v>
      </c>
      <c r="N609" s="7" t="s">
        <v>24</v>
      </c>
    </row>
    <row r="610" customFormat="false" ht="29.85" hidden="false" customHeight="false" outlineLevel="0" collapsed="false">
      <c r="A610" s="6" t="n">
        <v>609</v>
      </c>
      <c r="B610" s="7" t="s">
        <v>1276</v>
      </c>
      <c r="C610" s="7" t="s">
        <v>1277</v>
      </c>
      <c r="D610" s="8" t="s">
        <v>1329</v>
      </c>
      <c r="E610" s="7" t="s">
        <v>1330</v>
      </c>
      <c r="F610" s="6" t="s">
        <v>476</v>
      </c>
      <c r="G610" s="7" t="s">
        <v>43</v>
      </c>
      <c r="H610" s="7" t="s">
        <v>20</v>
      </c>
      <c r="I610" s="7" t="s">
        <v>76</v>
      </c>
      <c r="J610" s="6" t="s">
        <v>1281</v>
      </c>
      <c r="K610" s="6" t="n">
        <v>1</v>
      </c>
      <c r="L610" s="7" t="s">
        <v>1282</v>
      </c>
      <c r="M610" s="6" t="n">
        <v>24</v>
      </c>
      <c r="N610" s="7" t="s">
        <v>24</v>
      </c>
    </row>
    <row r="611" customFormat="false" ht="15" hidden="false" customHeight="false" outlineLevel="0" collapsed="false">
      <c r="A611" s="6" t="n">
        <v>610</v>
      </c>
      <c r="B611" s="7" t="s">
        <v>1276</v>
      </c>
      <c r="C611" s="7" t="s">
        <v>1277</v>
      </c>
      <c r="D611" s="8" t="s">
        <v>1331</v>
      </c>
      <c r="E611" s="7" t="s">
        <v>1332</v>
      </c>
      <c r="F611" s="6" t="s">
        <v>37</v>
      </c>
      <c r="G611" s="7" t="s">
        <v>27</v>
      </c>
      <c r="H611" s="7" t="s">
        <v>38</v>
      </c>
      <c r="I611" s="7" t="s">
        <v>1313</v>
      </c>
      <c r="J611" s="6" t="s">
        <v>1281</v>
      </c>
      <c r="K611" s="6" t="n">
        <v>1</v>
      </c>
      <c r="L611" s="7" t="s">
        <v>1282</v>
      </c>
      <c r="M611" s="6" t="n">
        <v>25</v>
      </c>
      <c r="N611" s="7" t="s">
        <v>40</v>
      </c>
    </row>
    <row r="612" customFormat="false" ht="29.85" hidden="false" customHeight="false" outlineLevel="0" collapsed="false">
      <c r="A612" s="6" t="n">
        <v>611</v>
      </c>
      <c r="B612" s="7" t="s">
        <v>1276</v>
      </c>
      <c r="C612" s="7" t="s">
        <v>1277</v>
      </c>
      <c r="D612" s="8" t="s">
        <v>1333</v>
      </c>
      <c r="E612" s="7" t="s">
        <v>1334</v>
      </c>
      <c r="F612" s="6" t="s">
        <v>476</v>
      </c>
      <c r="G612" s="7" t="s">
        <v>43</v>
      </c>
      <c r="H612" s="7" t="s">
        <v>20</v>
      </c>
      <c r="I612" s="7" t="s">
        <v>76</v>
      </c>
      <c r="J612" s="6" t="s">
        <v>1281</v>
      </c>
      <c r="K612" s="6" t="n">
        <v>1</v>
      </c>
      <c r="L612" s="7" t="s">
        <v>1282</v>
      </c>
      <c r="M612" s="6" t="n">
        <v>26</v>
      </c>
      <c r="N612" s="7" t="s">
        <v>24</v>
      </c>
    </row>
    <row r="613" customFormat="false" ht="29.85" hidden="false" customHeight="false" outlineLevel="0" collapsed="false">
      <c r="A613" s="6" t="n">
        <v>612</v>
      </c>
      <c r="B613" s="7" t="s">
        <v>1276</v>
      </c>
      <c r="C613" s="7" t="s">
        <v>1277</v>
      </c>
      <c r="D613" s="8" t="s">
        <v>1335</v>
      </c>
      <c r="E613" s="7" t="s">
        <v>1277</v>
      </c>
      <c r="F613" s="6" t="s">
        <v>476</v>
      </c>
      <c r="G613" s="7" t="s">
        <v>43</v>
      </c>
      <c r="H613" s="7" t="s">
        <v>20</v>
      </c>
      <c r="I613" s="7" t="s">
        <v>85</v>
      </c>
      <c r="J613" s="6" t="s">
        <v>1281</v>
      </c>
      <c r="K613" s="6" t="n">
        <v>1</v>
      </c>
      <c r="L613" s="7" t="s">
        <v>1282</v>
      </c>
      <c r="M613" s="6" t="n">
        <v>27</v>
      </c>
      <c r="N613" s="7" t="s">
        <v>24</v>
      </c>
    </row>
    <row r="614" customFormat="false" ht="29.85" hidden="false" customHeight="false" outlineLevel="0" collapsed="false">
      <c r="A614" s="6" t="n">
        <v>613</v>
      </c>
      <c r="B614" s="7" t="s">
        <v>1276</v>
      </c>
      <c r="C614" s="7" t="s">
        <v>1277</v>
      </c>
      <c r="D614" s="8" t="s">
        <v>1336</v>
      </c>
      <c r="E614" s="7" t="s">
        <v>1337</v>
      </c>
      <c r="F614" s="6" t="s">
        <v>476</v>
      </c>
      <c r="G614" s="7" t="s">
        <v>43</v>
      </c>
      <c r="H614" s="7" t="s">
        <v>20</v>
      </c>
      <c r="I614" s="7" t="s">
        <v>85</v>
      </c>
      <c r="J614" s="6" t="s">
        <v>1281</v>
      </c>
      <c r="K614" s="6" t="n">
        <v>1</v>
      </c>
      <c r="L614" s="7" t="s">
        <v>1282</v>
      </c>
      <c r="M614" s="6" t="n">
        <v>28</v>
      </c>
      <c r="N614" s="7" t="s">
        <v>24</v>
      </c>
    </row>
    <row r="615" customFormat="false" ht="29.85" hidden="false" customHeight="false" outlineLevel="0" collapsed="false">
      <c r="A615" s="6" t="n">
        <v>614</v>
      </c>
      <c r="B615" s="7" t="s">
        <v>1276</v>
      </c>
      <c r="C615" s="7" t="s">
        <v>1277</v>
      </c>
      <c r="D615" s="8" t="s">
        <v>1338</v>
      </c>
      <c r="E615" s="7" t="s">
        <v>1337</v>
      </c>
      <c r="F615" s="6" t="s">
        <v>476</v>
      </c>
      <c r="G615" s="7" t="s">
        <v>43</v>
      </c>
      <c r="H615" s="7" t="s">
        <v>20</v>
      </c>
      <c r="I615" s="7" t="s">
        <v>88</v>
      </c>
      <c r="J615" s="6" t="s">
        <v>1281</v>
      </c>
      <c r="K615" s="6" t="n">
        <v>1</v>
      </c>
      <c r="L615" s="7" t="s">
        <v>1282</v>
      </c>
      <c r="M615" s="6" t="n">
        <v>29</v>
      </c>
      <c r="N615" s="7" t="s">
        <v>24</v>
      </c>
    </row>
    <row r="616" customFormat="false" ht="15" hidden="false" customHeight="false" outlineLevel="0" collapsed="false">
      <c r="A616" s="6" t="n">
        <v>615</v>
      </c>
      <c r="B616" s="7" t="s">
        <v>1276</v>
      </c>
      <c r="C616" s="7" t="s">
        <v>1277</v>
      </c>
      <c r="D616" s="8" t="s">
        <v>1339</v>
      </c>
      <c r="E616" s="7" t="s">
        <v>1340</v>
      </c>
      <c r="F616" s="6" t="s">
        <v>37</v>
      </c>
      <c r="G616" s="7" t="s">
        <v>27</v>
      </c>
      <c r="H616" s="7" t="s">
        <v>38</v>
      </c>
      <c r="I616" s="7" t="s">
        <v>1152</v>
      </c>
      <c r="J616" s="6" t="s">
        <v>1281</v>
      </c>
      <c r="K616" s="6" t="n">
        <v>1</v>
      </c>
      <c r="L616" s="7" t="s">
        <v>1282</v>
      </c>
      <c r="M616" s="6" t="n">
        <v>30</v>
      </c>
      <c r="N616" s="7" t="s">
        <v>40</v>
      </c>
    </row>
    <row r="617" customFormat="false" ht="29.85" hidden="false" customHeight="false" outlineLevel="0" collapsed="false">
      <c r="A617" s="6" t="n">
        <v>616</v>
      </c>
      <c r="B617" s="7" t="s">
        <v>1276</v>
      </c>
      <c r="C617" s="7" t="s">
        <v>1277</v>
      </c>
      <c r="D617" s="8" t="s">
        <v>1341</v>
      </c>
      <c r="E617" s="7" t="s">
        <v>1342</v>
      </c>
      <c r="F617" s="6" t="s">
        <v>476</v>
      </c>
      <c r="G617" s="7" t="s">
        <v>43</v>
      </c>
      <c r="H617" s="7" t="s">
        <v>20</v>
      </c>
      <c r="I617" s="7" t="s">
        <v>88</v>
      </c>
      <c r="J617" s="6" t="s">
        <v>1281</v>
      </c>
      <c r="K617" s="6" t="n">
        <v>1</v>
      </c>
      <c r="L617" s="7" t="s">
        <v>1282</v>
      </c>
      <c r="M617" s="6" t="n">
        <v>31</v>
      </c>
      <c r="N617" s="7" t="s">
        <v>24</v>
      </c>
    </row>
    <row r="618" customFormat="false" ht="29.85" hidden="false" customHeight="false" outlineLevel="0" collapsed="false">
      <c r="A618" s="6" t="n">
        <v>617</v>
      </c>
      <c r="B618" s="7" t="s">
        <v>1276</v>
      </c>
      <c r="C618" s="7" t="s">
        <v>1277</v>
      </c>
      <c r="D618" s="8" t="s">
        <v>1343</v>
      </c>
      <c r="E618" s="7" t="s">
        <v>1277</v>
      </c>
      <c r="F618" s="6" t="s">
        <v>476</v>
      </c>
      <c r="G618" s="7" t="s">
        <v>43</v>
      </c>
      <c r="H618" s="7" t="s">
        <v>20</v>
      </c>
      <c r="I618" s="7" t="s">
        <v>91</v>
      </c>
      <c r="J618" s="6" t="s">
        <v>1281</v>
      </c>
      <c r="K618" s="6" t="n">
        <v>1</v>
      </c>
      <c r="L618" s="7" t="s">
        <v>1282</v>
      </c>
      <c r="M618" s="6" t="n">
        <v>32</v>
      </c>
      <c r="N618" s="7" t="s">
        <v>24</v>
      </c>
    </row>
    <row r="619" customFormat="false" ht="29.85" hidden="false" customHeight="false" outlineLevel="0" collapsed="false">
      <c r="A619" s="6" t="n">
        <v>618</v>
      </c>
      <c r="B619" s="7" t="s">
        <v>1276</v>
      </c>
      <c r="C619" s="7" t="s">
        <v>1277</v>
      </c>
      <c r="D619" s="8" t="s">
        <v>1344</v>
      </c>
      <c r="E619" s="7" t="s">
        <v>1322</v>
      </c>
      <c r="F619" s="6" t="s">
        <v>476</v>
      </c>
      <c r="G619" s="7" t="s">
        <v>43</v>
      </c>
      <c r="H619" s="7" t="s">
        <v>20</v>
      </c>
      <c r="I619" s="7" t="s">
        <v>91</v>
      </c>
      <c r="J619" s="6" t="s">
        <v>1281</v>
      </c>
      <c r="K619" s="6" t="n">
        <v>1</v>
      </c>
      <c r="L619" s="7" t="s">
        <v>1282</v>
      </c>
      <c r="M619" s="6" t="n">
        <v>33</v>
      </c>
      <c r="N619" s="7" t="s">
        <v>24</v>
      </c>
    </row>
    <row r="620" customFormat="false" ht="29.85" hidden="false" customHeight="false" outlineLevel="0" collapsed="false">
      <c r="A620" s="6" t="n">
        <v>619</v>
      </c>
      <c r="B620" s="7" t="s">
        <v>1276</v>
      </c>
      <c r="C620" s="7" t="s">
        <v>1277</v>
      </c>
      <c r="D620" s="8" t="s">
        <v>1345</v>
      </c>
      <c r="E620" s="7" t="s">
        <v>1337</v>
      </c>
      <c r="F620" s="6" t="s">
        <v>476</v>
      </c>
      <c r="G620" s="7" t="s">
        <v>43</v>
      </c>
      <c r="H620" s="7" t="s">
        <v>20</v>
      </c>
      <c r="I620" s="7" t="s">
        <v>457</v>
      </c>
      <c r="J620" s="6" t="s">
        <v>1281</v>
      </c>
      <c r="K620" s="6" t="n">
        <v>1</v>
      </c>
      <c r="L620" s="7" t="s">
        <v>1282</v>
      </c>
      <c r="M620" s="6" t="n">
        <v>34</v>
      </c>
      <c r="N620" s="7" t="s">
        <v>24</v>
      </c>
    </row>
    <row r="621" customFormat="false" ht="15" hidden="false" customHeight="false" outlineLevel="0" collapsed="false">
      <c r="A621" s="6" t="n">
        <v>620</v>
      </c>
      <c r="B621" s="7" t="s">
        <v>1276</v>
      </c>
      <c r="C621" s="7" t="s">
        <v>1277</v>
      </c>
      <c r="D621" s="8" t="s">
        <v>1346</v>
      </c>
      <c r="E621" s="7" t="s">
        <v>1347</v>
      </c>
      <c r="F621" s="6" t="s">
        <v>37</v>
      </c>
      <c r="G621" s="7" t="s">
        <v>27</v>
      </c>
      <c r="H621" s="7" t="s">
        <v>38</v>
      </c>
      <c r="I621" s="7" t="s">
        <v>1348</v>
      </c>
      <c r="J621" s="6" t="s">
        <v>1281</v>
      </c>
      <c r="K621" s="6" t="n">
        <v>1</v>
      </c>
      <c r="L621" s="7" t="s">
        <v>1282</v>
      </c>
      <c r="M621" s="6" t="n">
        <v>35</v>
      </c>
      <c r="N621" s="7" t="s">
        <v>40</v>
      </c>
    </row>
    <row r="622" customFormat="false" ht="29.85" hidden="false" customHeight="false" outlineLevel="0" collapsed="false">
      <c r="A622" s="6" t="n">
        <v>621</v>
      </c>
      <c r="B622" s="7" t="s">
        <v>1276</v>
      </c>
      <c r="C622" s="7" t="s">
        <v>1277</v>
      </c>
      <c r="D622" s="8" t="s">
        <v>1349</v>
      </c>
      <c r="E622" s="7" t="s">
        <v>1334</v>
      </c>
      <c r="F622" s="6" t="s">
        <v>476</v>
      </c>
      <c r="G622" s="7" t="s">
        <v>43</v>
      </c>
      <c r="H622" s="7" t="s">
        <v>20</v>
      </c>
      <c r="I622" s="7" t="s">
        <v>98</v>
      </c>
      <c r="J622" s="6" t="s">
        <v>1281</v>
      </c>
      <c r="K622" s="6" t="n">
        <v>1</v>
      </c>
      <c r="L622" s="7" t="s">
        <v>1282</v>
      </c>
      <c r="M622" s="6" t="n">
        <v>36</v>
      </c>
      <c r="N622" s="7" t="s">
        <v>24</v>
      </c>
    </row>
    <row r="623" customFormat="false" ht="29.85" hidden="false" customHeight="false" outlineLevel="0" collapsed="false">
      <c r="A623" s="6" t="n">
        <v>622</v>
      </c>
      <c r="B623" s="7" t="s">
        <v>1276</v>
      </c>
      <c r="C623" s="7" t="s">
        <v>1277</v>
      </c>
      <c r="D623" s="8" t="s">
        <v>1350</v>
      </c>
      <c r="E623" s="7" t="s">
        <v>1342</v>
      </c>
      <c r="F623" s="6" t="s">
        <v>476</v>
      </c>
      <c r="G623" s="7" t="s">
        <v>43</v>
      </c>
      <c r="H623" s="7" t="s">
        <v>20</v>
      </c>
      <c r="I623" s="7" t="s">
        <v>112</v>
      </c>
      <c r="J623" s="6" t="s">
        <v>1281</v>
      </c>
      <c r="K623" s="6" t="n">
        <v>1</v>
      </c>
      <c r="L623" s="7" t="s">
        <v>1282</v>
      </c>
      <c r="M623" s="6" t="n">
        <v>37</v>
      </c>
      <c r="N623" s="7" t="s">
        <v>24</v>
      </c>
    </row>
    <row r="624" customFormat="false" ht="29.85" hidden="false" customHeight="false" outlineLevel="0" collapsed="false">
      <c r="A624" s="6" t="n">
        <v>623</v>
      </c>
      <c r="B624" s="7" t="s">
        <v>1276</v>
      </c>
      <c r="C624" s="7" t="s">
        <v>1277</v>
      </c>
      <c r="D624" s="8" t="s">
        <v>1351</v>
      </c>
      <c r="E624" s="7" t="s">
        <v>1352</v>
      </c>
      <c r="F624" s="6" t="s">
        <v>476</v>
      </c>
      <c r="G624" s="7" t="s">
        <v>43</v>
      </c>
      <c r="H624" s="7" t="s">
        <v>20</v>
      </c>
      <c r="I624" s="7" t="s">
        <v>51</v>
      </c>
      <c r="J624" s="6" t="s">
        <v>1281</v>
      </c>
      <c r="K624" s="6" t="n">
        <v>1</v>
      </c>
      <c r="L624" s="7" t="s">
        <v>1282</v>
      </c>
      <c r="M624" s="6" t="n">
        <v>38</v>
      </c>
      <c r="N624" s="7" t="s">
        <v>24</v>
      </c>
    </row>
    <row r="625" customFormat="false" ht="29.85" hidden="false" customHeight="false" outlineLevel="0" collapsed="false">
      <c r="A625" s="6" t="n">
        <v>624</v>
      </c>
      <c r="B625" s="7" t="s">
        <v>1276</v>
      </c>
      <c r="C625" s="7" t="s">
        <v>1277</v>
      </c>
      <c r="D625" s="8" t="s">
        <v>1353</v>
      </c>
      <c r="E625" s="7" t="s">
        <v>1354</v>
      </c>
      <c r="F625" s="6" t="s">
        <v>476</v>
      </c>
      <c r="G625" s="7" t="s">
        <v>43</v>
      </c>
      <c r="H625" s="7" t="s">
        <v>20</v>
      </c>
      <c r="I625" s="7" t="s">
        <v>114</v>
      </c>
      <c r="J625" s="6" t="s">
        <v>1281</v>
      </c>
      <c r="K625" s="6" t="n">
        <v>1</v>
      </c>
      <c r="L625" s="7" t="s">
        <v>1282</v>
      </c>
      <c r="M625" s="6" t="n">
        <v>39</v>
      </c>
      <c r="N625" s="7" t="s">
        <v>24</v>
      </c>
    </row>
    <row r="626" customFormat="false" ht="15" hidden="false" customHeight="false" outlineLevel="0" collapsed="false">
      <c r="A626" s="6" t="n">
        <v>625</v>
      </c>
      <c r="B626" s="7" t="s">
        <v>1276</v>
      </c>
      <c r="C626" s="7" t="s">
        <v>1277</v>
      </c>
      <c r="D626" s="8" t="s">
        <v>1355</v>
      </c>
      <c r="E626" s="7" t="s">
        <v>1356</v>
      </c>
      <c r="F626" s="6" t="s">
        <v>37</v>
      </c>
      <c r="G626" s="7" t="s">
        <v>27</v>
      </c>
      <c r="H626" s="7" t="s">
        <v>38</v>
      </c>
      <c r="I626" s="7" t="s">
        <v>83</v>
      </c>
      <c r="J626" s="6" t="s">
        <v>1281</v>
      </c>
      <c r="K626" s="6" t="n">
        <v>1</v>
      </c>
      <c r="L626" s="7" t="s">
        <v>1282</v>
      </c>
      <c r="M626" s="6" t="n">
        <v>40</v>
      </c>
      <c r="N626" s="7" t="s">
        <v>40</v>
      </c>
    </row>
    <row r="627" customFormat="false" ht="29.85" hidden="false" customHeight="false" outlineLevel="0" collapsed="false">
      <c r="A627" s="6" t="n">
        <v>626</v>
      </c>
      <c r="B627" s="7" t="s">
        <v>1276</v>
      </c>
      <c r="C627" s="7" t="s">
        <v>1277</v>
      </c>
      <c r="D627" s="8" t="s">
        <v>1357</v>
      </c>
      <c r="E627" s="7" t="s">
        <v>1358</v>
      </c>
      <c r="F627" s="6" t="s">
        <v>476</v>
      </c>
      <c r="G627" s="7" t="s">
        <v>43</v>
      </c>
      <c r="H627" s="7" t="s">
        <v>20</v>
      </c>
      <c r="I627" s="7" t="s">
        <v>114</v>
      </c>
      <c r="J627" s="6" t="s">
        <v>1281</v>
      </c>
      <c r="K627" s="6" t="n">
        <v>1</v>
      </c>
      <c r="L627" s="7" t="s">
        <v>1282</v>
      </c>
      <c r="M627" s="6" t="n">
        <v>41</v>
      </c>
      <c r="N627" s="7" t="s">
        <v>24</v>
      </c>
    </row>
    <row r="628" customFormat="false" ht="29.85" hidden="false" customHeight="false" outlineLevel="0" collapsed="false">
      <c r="A628" s="6" t="n">
        <v>627</v>
      </c>
      <c r="B628" s="7" t="s">
        <v>1276</v>
      </c>
      <c r="C628" s="7" t="s">
        <v>1277</v>
      </c>
      <c r="D628" s="8" t="s">
        <v>1359</v>
      </c>
      <c r="E628" s="7" t="s">
        <v>1342</v>
      </c>
      <c r="F628" s="6" t="s">
        <v>476</v>
      </c>
      <c r="G628" s="7" t="s">
        <v>43</v>
      </c>
      <c r="H628" s="7" t="s">
        <v>20</v>
      </c>
      <c r="I628" s="7" t="s">
        <v>289</v>
      </c>
      <c r="J628" s="6" t="s">
        <v>1281</v>
      </c>
      <c r="K628" s="6" t="n">
        <v>1</v>
      </c>
      <c r="L628" s="7" t="s">
        <v>1282</v>
      </c>
      <c r="M628" s="6" t="n">
        <v>42</v>
      </c>
      <c r="N628" s="7" t="s">
        <v>24</v>
      </c>
    </row>
    <row r="629" customFormat="false" ht="29.85" hidden="false" customHeight="false" outlineLevel="0" collapsed="false">
      <c r="A629" s="6" t="n">
        <v>628</v>
      </c>
      <c r="B629" s="7" t="s">
        <v>1276</v>
      </c>
      <c r="C629" s="7" t="s">
        <v>1277</v>
      </c>
      <c r="D629" s="8" t="s">
        <v>1360</v>
      </c>
      <c r="E629" s="7" t="s">
        <v>1361</v>
      </c>
      <c r="F629" s="6" t="s">
        <v>214</v>
      </c>
      <c r="G629" s="7" t="s">
        <v>43</v>
      </c>
      <c r="H629" s="7" t="s">
        <v>20</v>
      </c>
      <c r="I629" s="7" t="s">
        <v>289</v>
      </c>
      <c r="J629" s="6" t="s">
        <v>1281</v>
      </c>
      <c r="K629" s="6" t="n">
        <v>1</v>
      </c>
      <c r="L629" s="7" t="s">
        <v>1282</v>
      </c>
      <c r="M629" s="6" t="n">
        <v>43</v>
      </c>
      <c r="N629" s="7" t="s">
        <v>24</v>
      </c>
    </row>
    <row r="630" customFormat="false" ht="29.85" hidden="false" customHeight="false" outlineLevel="0" collapsed="false">
      <c r="A630" s="6" t="n">
        <v>629</v>
      </c>
      <c r="B630" s="7" t="s">
        <v>1276</v>
      </c>
      <c r="C630" s="7" t="s">
        <v>1277</v>
      </c>
      <c r="D630" s="8" t="s">
        <v>1362</v>
      </c>
      <c r="E630" s="7" t="s">
        <v>1317</v>
      </c>
      <c r="F630" s="6" t="s">
        <v>476</v>
      </c>
      <c r="G630" s="7" t="s">
        <v>43</v>
      </c>
      <c r="H630" s="7" t="s">
        <v>20</v>
      </c>
      <c r="I630" s="7" t="s">
        <v>158</v>
      </c>
      <c r="J630" s="6" t="s">
        <v>1281</v>
      </c>
      <c r="K630" s="6" t="n">
        <v>1</v>
      </c>
      <c r="L630" s="7" t="s">
        <v>1282</v>
      </c>
      <c r="M630" s="6" t="n">
        <v>44</v>
      </c>
      <c r="N630" s="7" t="s">
        <v>24</v>
      </c>
    </row>
    <row r="631" customFormat="false" ht="15" hidden="false" customHeight="false" outlineLevel="0" collapsed="false">
      <c r="A631" s="6" t="n">
        <v>630</v>
      </c>
      <c r="B631" s="7" t="s">
        <v>1276</v>
      </c>
      <c r="C631" s="7" t="s">
        <v>1277</v>
      </c>
      <c r="D631" s="8" t="s">
        <v>1363</v>
      </c>
      <c r="E631" s="7" t="s">
        <v>1364</v>
      </c>
      <c r="F631" s="6" t="s">
        <v>37</v>
      </c>
      <c r="G631" s="7" t="s">
        <v>27</v>
      </c>
      <c r="H631" s="7" t="s">
        <v>38</v>
      </c>
      <c r="I631" s="7" t="s">
        <v>83</v>
      </c>
      <c r="J631" s="6" t="s">
        <v>1281</v>
      </c>
      <c r="K631" s="6" t="n">
        <v>1</v>
      </c>
      <c r="L631" s="7" t="s">
        <v>1282</v>
      </c>
      <c r="M631" s="6" t="n">
        <v>45</v>
      </c>
      <c r="N631" s="7" t="s">
        <v>40</v>
      </c>
    </row>
    <row r="632" customFormat="false" ht="29.85" hidden="false" customHeight="false" outlineLevel="0" collapsed="false">
      <c r="A632" s="6" t="n">
        <v>631</v>
      </c>
      <c r="B632" s="7" t="s">
        <v>1276</v>
      </c>
      <c r="C632" s="7" t="s">
        <v>1277</v>
      </c>
      <c r="D632" s="8" t="s">
        <v>1365</v>
      </c>
      <c r="E632" s="7" t="s">
        <v>1358</v>
      </c>
      <c r="F632" s="6" t="s">
        <v>476</v>
      </c>
      <c r="G632" s="7" t="s">
        <v>43</v>
      </c>
      <c r="H632" s="7" t="s">
        <v>20</v>
      </c>
      <c r="I632" s="7" t="s">
        <v>158</v>
      </c>
      <c r="J632" s="6" t="s">
        <v>1281</v>
      </c>
      <c r="K632" s="6" t="n">
        <v>1</v>
      </c>
      <c r="L632" s="7" t="s">
        <v>1282</v>
      </c>
      <c r="M632" s="6" t="n">
        <v>46</v>
      </c>
      <c r="N632" s="7" t="s">
        <v>24</v>
      </c>
    </row>
    <row r="633" customFormat="false" ht="29.85" hidden="false" customHeight="false" outlineLevel="0" collapsed="false">
      <c r="A633" s="6" t="n">
        <v>632</v>
      </c>
      <c r="B633" s="7" t="s">
        <v>1276</v>
      </c>
      <c r="C633" s="7" t="s">
        <v>1277</v>
      </c>
      <c r="D633" s="8" t="s">
        <v>1366</v>
      </c>
      <c r="E633" s="7" t="s">
        <v>1352</v>
      </c>
      <c r="F633" s="6" t="s">
        <v>476</v>
      </c>
      <c r="G633" s="7" t="s">
        <v>43</v>
      </c>
      <c r="H633" s="7" t="s">
        <v>20</v>
      </c>
      <c r="I633" s="7" t="s">
        <v>201</v>
      </c>
      <c r="J633" s="6" t="s">
        <v>1281</v>
      </c>
      <c r="K633" s="6" t="n">
        <v>1</v>
      </c>
      <c r="L633" s="7" t="s">
        <v>1282</v>
      </c>
      <c r="M633" s="6" t="n">
        <v>47</v>
      </c>
      <c r="N633" s="7" t="s">
        <v>24</v>
      </c>
    </row>
    <row r="634" customFormat="false" ht="29.85" hidden="false" customHeight="false" outlineLevel="0" collapsed="false">
      <c r="A634" s="6" t="n">
        <v>633</v>
      </c>
      <c r="B634" s="7" t="s">
        <v>1276</v>
      </c>
      <c r="C634" s="7" t="s">
        <v>1277</v>
      </c>
      <c r="D634" s="8" t="s">
        <v>1367</v>
      </c>
      <c r="E634" s="7" t="s">
        <v>1277</v>
      </c>
      <c r="F634" s="6" t="s">
        <v>476</v>
      </c>
      <c r="G634" s="7" t="s">
        <v>43</v>
      </c>
      <c r="H634" s="7" t="s">
        <v>20</v>
      </c>
      <c r="I634" s="7" t="s">
        <v>203</v>
      </c>
      <c r="J634" s="6" t="s">
        <v>1281</v>
      </c>
      <c r="K634" s="6" t="n">
        <v>1</v>
      </c>
      <c r="L634" s="7" t="s">
        <v>1282</v>
      </c>
      <c r="M634" s="6" t="n">
        <v>48</v>
      </c>
      <c r="N634" s="7" t="s">
        <v>24</v>
      </c>
    </row>
    <row r="635" customFormat="false" ht="15" hidden="false" customHeight="false" outlineLevel="0" collapsed="false">
      <c r="A635" s="6" t="n">
        <v>634</v>
      </c>
      <c r="B635" s="7" t="s">
        <v>1276</v>
      </c>
      <c r="C635" s="7" t="s">
        <v>1277</v>
      </c>
      <c r="D635" s="8" t="s">
        <v>1368</v>
      </c>
      <c r="E635" s="6" t="s">
        <v>1369</v>
      </c>
      <c r="F635" s="6" t="s">
        <v>378</v>
      </c>
      <c r="G635" s="7" t="s">
        <v>27</v>
      </c>
      <c r="H635" s="7" t="s">
        <v>38</v>
      </c>
      <c r="I635" s="7" t="s">
        <v>95</v>
      </c>
      <c r="J635" s="6" t="s">
        <v>1281</v>
      </c>
      <c r="K635" s="6" t="n">
        <v>1</v>
      </c>
      <c r="L635" s="7" t="s">
        <v>1282</v>
      </c>
      <c r="M635" s="6" t="n">
        <v>49</v>
      </c>
      <c r="N635" s="7" t="s">
        <v>40</v>
      </c>
    </row>
    <row r="636" customFormat="false" ht="15" hidden="false" customHeight="false" outlineLevel="0" collapsed="false">
      <c r="A636" s="6" t="n">
        <v>635</v>
      </c>
      <c r="B636" s="7" t="s">
        <v>1276</v>
      </c>
      <c r="C636" s="7" t="s">
        <v>1277</v>
      </c>
      <c r="D636" s="8" t="s">
        <v>1370</v>
      </c>
      <c r="E636" s="7" t="s">
        <v>1371</v>
      </c>
      <c r="F636" s="6" t="s">
        <v>82</v>
      </c>
      <c r="G636" s="7" t="s">
        <v>27</v>
      </c>
      <c r="H636" s="7" t="s">
        <v>38</v>
      </c>
      <c r="I636" s="7" t="s">
        <v>95</v>
      </c>
      <c r="J636" s="6" t="s">
        <v>1281</v>
      </c>
      <c r="K636" s="6" t="n">
        <v>1</v>
      </c>
      <c r="L636" s="7" t="s">
        <v>1282</v>
      </c>
      <c r="M636" s="6" t="n">
        <v>50</v>
      </c>
      <c r="N636" s="7" t="s">
        <v>40</v>
      </c>
    </row>
    <row r="637" customFormat="false" ht="15" hidden="false" customHeight="false" outlineLevel="0" collapsed="false">
      <c r="A637" s="6" t="n">
        <v>636</v>
      </c>
      <c r="B637" s="7" t="s">
        <v>1276</v>
      </c>
      <c r="C637" s="7" t="s">
        <v>1277</v>
      </c>
      <c r="D637" s="8" t="s">
        <v>1372</v>
      </c>
      <c r="E637" s="7" t="s">
        <v>1373</v>
      </c>
      <c r="F637" s="6" t="s">
        <v>82</v>
      </c>
      <c r="G637" s="7" t="s">
        <v>27</v>
      </c>
      <c r="H637" s="7" t="s">
        <v>38</v>
      </c>
      <c r="I637" s="7" t="s">
        <v>108</v>
      </c>
      <c r="J637" s="6" t="s">
        <v>1281</v>
      </c>
      <c r="K637" s="6" t="n">
        <v>1</v>
      </c>
      <c r="L637" s="7" t="s">
        <v>1282</v>
      </c>
      <c r="M637" s="6" t="n">
        <v>51</v>
      </c>
      <c r="N637" s="7" t="s">
        <v>40</v>
      </c>
    </row>
    <row r="638" customFormat="false" ht="15" hidden="false" customHeight="false" outlineLevel="0" collapsed="false">
      <c r="A638" s="6" t="n">
        <v>637</v>
      </c>
      <c r="B638" s="7" t="s">
        <v>1276</v>
      </c>
      <c r="C638" s="7" t="s">
        <v>1277</v>
      </c>
      <c r="D638" s="8" t="s">
        <v>1374</v>
      </c>
      <c r="E638" s="7" t="s">
        <v>1375</v>
      </c>
      <c r="F638" s="6" t="s">
        <v>37</v>
      </c>
      <c r="G638" s="7" t="s">
        <v>27</v>
      </c>
      <c r="H638" s="7" t="s">
        <v>38</v>
      </c>
      <c r="I638" s="7" t="s">
        <v>153</v>
      </c>
      <c r="J638" s="6" t="s">
        <v>1281</v>
      </c>
      <c r="K638" s="6" t="n">
        <v>1</v>
      </c>
      <c r="L638" s="7" t="s">
        <v>1282</v>
      </c>
      <c r="M638" s="6" t="n">
        <v>52</v>
      </c>
      <c r="N638" s="7" t="s">
        <v>40</v>
      </c>
    </row>
    <row r="639" customFormat="false" ht="15" hidden="false" customHeight="false" outlineLevel="0" collapsed="false">
      <c r="A639" s="6" t="n">
        <v>638</v>
      </c>
      <c r="B639" s="7" t="s">
        <v>1276</v>
      </c>
      <c r="C639" s="7" t="s">
        <v>1277</v>
      </c>
      <c r="D639" s="8" t="s">
        <v>1376</v>
      </c>
      <c r="E639" s="7" t="s">
        <v>1377</v>
      </c>
      <c r="F639" s="6" t="s">
        <v>37</v>
      </c>
      <c r="G639" s="7" t="s">
        <v>27</v>
      </c>
      <c r="H639" s="7" t="s">
        <v>38</v>
      </c>
      <c r="I639" s="7" t="s">
        <v>153</v>
      </c>
      <c r="J639" s="6" t="s">
        <v>1281</v>
      </c>
      <c r="K639" s="6" t="n">
        <v>1</v>
      </c>
      <c r="L639" s="7" t="s">
        <v>1282</v>
      </c>
      <c r="M639" s="6" t="n">
        <v>53</v>
      </c>
      <c r="N639" s="7" t="s">
        <v>40</v>
      </c>
    </row>
    <row r="640" customFormat="false" ht="15" hidden="false" customHeight="false" outlineLevel="0" collapsed="false">
      <c r="A640" s="6" t="n">
        <v>639</v>
      </c>
      <c r="B640" s="7" t="s">
        <v>1276</v>
      </c>
      <c r="C640" s="7" t="s">
        <v>1277</v>
      </c>
      <c r="D640" s="8" t="s">
        <v>1378</v>
      </c>
      <c r="E640" s="6" t="s">
        <v>1369</v>
      </c>
      <c r="F640" s="6" t="s">
        <v>378</v>
      </c>
      <c r="G640" s="7" t="s">
        <v>27</v>
      </c>
      <c r="H640" s="7" t="s">
        <v>38</v>
      </c>
      <c r="I640" s="7" t="s">
        <v>793</v>
      </c>
      <c r="J640" s="6" t="s">
        <v>1281</v>
      </c>
      <c r="K640" s="6" t="n">
        <v>1</v>
      </c>
      <c r="L640" s="7" t="s">
        <v>1282</v>
      </c>
      <c r="M640" s="6" t="n">
        <v>54</v>
      </c>
      <c r="N640" s="7" t="s">
        <v>40</v>
      </c>
    </row>
    <row r="641" customFormat="false" ht="15" hidden="false" customHeight="false" outlineLevel="0" collapsed="false">
      <c r="A641" s="6" t="n">
        <v>640</v>
      </c>
      <c r="B641" s="7" t="s">
        <v>1276</v>
      </c>
      <c r="C641" s="7" t="s">
        <v>1277</v>
      </c>
      <c r="D641" s="8" t="s">
        <v>1379</v>
      </c>
      <c r="E641" s="8" t="s">
        <v>1380</v>
      </c>
      <c r="F641" s="6" t="s">
        <v>37</v>
      </c>
      <c r="G641" s="7" t="s">
        <v>27</v>
      </c>
      <c r="H641" s="7" t="s">
        <v>38</v>
      </c>
      <c r="I641" s="7" t="s">
        <v>206</v>
      </c>
      <c r="J641" s="6" t="s">
        <v>1281</v>
      </c>
      <c r="K641" s="6" t="n">
        <v>1</v>
      </c>
      <c r="L641" s="7" t="s">
        <v>1282</v>
      </c>
      <c r="M641" s="6" t="n">
        <v>55</v>
      </c>
      <c r="N641" s="7" t="s">
        <v>40</v>
      </c>
    </row>
    <row r="642" customFormat="false" ht="15" hidden="false" customHeight="false" outlineLevel="0" collapsed="false">
      <c r="A642" s="6" t="n">
        <v>641</v>
      </c>
      <c r="B642" s="7" t="s">
        <v>1276</v>
      </c>
      <c r="C642" s="7" t="s">
        <v>1277</v>
      </c>
      <c r="D642" s="8" t="s">
        <v>1381</v>
      </c>
      <c r="E642" s="7" t="s">
        <v>1382</v>
      </c>
      <c r="F642" s="6" t="s">
        <v>37</v>
      </c>
      <c r="G642" s="7" t="s">
        <v>27</v>
      </c>
      <c r="H642" s="7" t="s">
        <v>38</v>
      </c>
      <c r="I642" s="7" t="s">
        <v>206</v>
      </c>
      <c r="J642" s="6" t="s">
        <v>1281</v>
      </c>
      <c r="K642" s="6" t="n">
        <v>1</v>
      </c>
      <c r="L642" s="7" t="s">
        <v>1282</v>
      </c>
      <c r="M642" s="6" t="n">
        <v>56</v>
      </c>
      <c r="N642" s="7" t="s">
        <v>40</v>
      </c>
    </row>
    <row r="643" customFormat="false" ht="15" hidden="false" customHeight="false" outlineLevel="0" collapsed="false">
      <c r="A643" s="6" t="n">
        <v>642</v>
      </c>
      <c r="B643" s="7" t="s">
        <v>1276</v>
      </c>
      <c r="C643" s="7" t="s">
        <v>1277</v>
      </c>
      <c r="D643" s="8" t="s">
        <v>1383</v>
      </c>
      <c r="E643" s="7" t="s">
        <v>1371</v>
      </c>
      <c r="F643" s="6" t="s">
        <v>82</v>
      </c>
      <c r="G643" s="7" t="s">
        <v>27</v>
      </c>
      <c r="H643" s="7" t="s">
        <v>38</v>
      </c>
      <c r="I643" s="7" t="s">
        <v>206</v>
      </c>
      <c r="J643" s="6" t="s">
        <v>1281</v>
      </c>
      <c r="K643" s="6" t="n">
        <v>1</v>
      </c>
      <c r="L643" s="7" t="s">
        <v>1282</v>
      </c>
      <c r="M643" s="6" t="n">
        <v>57</v>
      </c>
      <c r="N643" s="7" t="s">
        <v>40</v>
      </c>
    </row>
    <row r="644" customFormat="false" ht="15" hidden="false" customHeight="false" outlineLevel="0" collapsed="false">
      <c r="A644" s="6" t="n">
        <v>643</v>
      </c>
      <c r="B644" s="7" t="s">
        <v>1276</v>
      </c>
      <c r="C644" s="7" t="s">
        <v>1277</v>
      </c>
      <c r="D644" s="8" t="s">
        <v>1384</v>
      </c>
      <c r="E644" s="7" t="s">
        <v>1385</v>
      </c>
      <c r="F644" s="6" t="s">
        <v>37</v>
      </c>
      <c r="G644" s="7" t="s">
        <v>27</v>
      </c>
      <c r="H644" s="7" t="s">
        <v>38</v>
      </c>
      <c r="I644" s="7" t="s">
        <v>39</v>
      </c>
      <c r="J644" s="6" t="s">
        <v>1281</v>
      </c>
      <c r="K644" s="6" t="n">
        <v>1</v>
      </c>
      <c r="L644" s="7" t="s">
        <v>1282</v>
      </c>
      <c r="M644" s="6" t="n">
        <v>58</v>
      </c>
      <c r="N644" s="7" t="s">
        <v>40</v>
      </c>
    </row>
    <row r="645" customFormat="false" ht="15" hidden="false" customHeight="false" outlineLevel="0" collapsed="false">
      <c r="A645" s="6" t="n">
        <v>644</v>
      </c>
      <c r="B645" s="7" t="s">
        <v>1276</v>
      </c>
      <c r="C645" s="7" t="s">
        <v>1277</v>
      </c>
      <c r="D645" s="8" t="s">
        <v>1386</v>
      </c>
      <c r="E645" s="7" t="s">
        <v>1387</v>
      </c>
      <c r="F645" s="6" t="s">
        <v>378</v>
      </c>
      <c r="G645" s="7" t="s">
        <v>27</v>
      </c>
      <c r="H645" s="7" t="s">
        <v>38</v>
      </c>
      <c r="I645" s="7" t="s">
        <v>363</v>
      </c>
      <c r="J645" s="6" t="s">
        <v>1281</v>
      </c>
      <c r="K645" s="6" t="n">
        <v>1</v>
      </c>
      <c r="L645" s="7" t="s">
        <v>1282</v>
      </c>
      <c r="M645" s="6" t="n">
        <v>59</v>
      </c>
      <c r="N645" s="7" t="s">
        <v>40</v>
      </c>
    </row>
    <row r="646" customFormat="false" ht="15" hidden="false" customHeight="false" outlineLevel="0" collapsed="false">
      <c r="A646" s="6" t="n">
        <v>645</v>
      </c>
      <c r="B646" s="7" t="s">
        <v>1276</v>
      </c>
      <c r="C646" s="7" t="s">
        <v>1277</v>
      </c>
      <c r="D646" s="8" t="s">
        <v>1388</v>
      </c>
      <c r="E646" s="7" t="s">
        <v>1389</v>
      </c>
      <c r="F646" s="6" t="s">
        <v>37</v>
      </c>
      <c r="G646" s="7" t="s">
        <v>27</v>
      </c>
      <c r="H646" s="7" t="s">
        <v>38</v>
      </c>
      <c r="I646" s="7" t="s">
        <v>1390</v>
      </c>
      <c r="J646" s="6" t="s">
        <v>1281</v>
      </c>
      <c r="K646" s="6" t="n">
        <v>1</v>
      </c>
      <c r="L646" s="7" t="s">
        <v>1282</v>
      </c>
      <c r="M646" s="6" t="n">
        <v>60</v>
      </c>
      <c r="N646" s="7" t="s">
        <v>40</v>
      </c>
    </row>
    <row r="647" customFormat="false" ht="15" hidden="false" customHeight="false" outlineLevel="0" collapsed="false">
      <c r="A647" s="6" t="n">
        <v>646</v>
      </c>
      <c r="B647" s="7" t="s">
        <v>1276</v>
      </c>
      <c r="C647" s="7" t="s">
        <v>1277</v>
      </c>
      <c r="D647" s="8" t="s">
        <v>1391</v>
      </c>
      <c r="E647" s="9" t="s">
        <v>1392</v>
      </c>
      <c r="F647" s="6" t="s">
        <v>37</v>
      </c>
      <c r="G647" s="7" t="s">
        <v>27</v>
      </c>
      <c r="H647" s="7" t="s">
        <v>38</v>
      </c>
      <c r="I647" s="7" t="s">
        <v>857</v>
      </c>
      <c r="J647" s="6" t="s">
        <v>1281</v>
      </c>
      <c r="K647" s="6" t="n">
        <v>1</v>
      </c>
      <c r="L647" s="7" t="s">
        <v>1282</v>
      </c>
      <c r="M647" s="6" t="n">
        <v>61</v>
      </c>
      <c r="N647" s="7" t="s">
        <v>40</v>
      </c>
    </row>
    <row r="648" customFormat="false" ht="15" hidden="false" customHeight="false" outlineLevel="0" collapsed="false">
      <c r="A648" s="6" t="n">
        <v>647</v>
      </c>
      <c r="B648" s="7" t="s">
        <v>1276</v>
      </c>
      <c r="C648" s="7" t="s">
        <v>1277</v>
      </c>
      <c r="D648" s="8" t="s">
        <v>1393</v>
      </c>
      <c r="E648" s="6" t="s">
        <v>1394</v>
      </c>
      <c r="F648" s="6" t="s">
        <v>37</v>
      </c>
      <c r="G648" s="7" t="s">
        <v>27</v>
      </c>
      <c r="H648" s="7" t="s">
        <v>38</v>
      </c>
      <c r="I648" s="7" t="s">
        <v>860</v>
      </c>
      <c r="J648" s="6" t="s">
        <v>1281</v>
      </c>
      <c r="K648" s="6" t="n">
        <v>1</v>
      </c>
      <c r="L648" s="7" t="s">
        <v>1282</v>
      </c>
      <c r="M648" s="6" t="n">
        <v>62</v>
      </c>
      <c r="N648" s="7" t="s">
        <v>40</v>
      </c>
    </row>
    <row r="649" customFormat="false" ht="15" hidden="false" customHeight="false" outlineLevel="0" collapsed="false">
      <c r="A649" s="6" t="n">
        <v>648</v>
      </c>
      <c r="B649" s="7" t="s">
        <v>1276</v>
      </c>
      <c r="C649" s="7" t="s">
        <v>1277</v>
      </c>
      <c r="D649" s="8" t="s">
        <v>1395</v>
      </c>
      <c r="E649" s="7" t="s">
        <v>1396</v>
      </c>
      <c r="F649" s="6" t="s">
        <v>476</v>
      </c>
      <c r="G649" s="7" t="s">
        <v>43</v>
      </c>
      <c r="H649" s="7" t="s">
        <v>38</v>
      </c>
      <c r="I649" s="7" t="s">
        <v>966</v>
      </c>
      <c r="J649" s="6" t="s">
        <v>1281</v>
      </c>
      <c r="K649" s="6" t="n">
        <v>1</v>
      </c>
      <c r="L649" s="7" t="s">
        <v>1282</v>
      </c>
      <c r="M649" s="6" t="n">
        <v>63</v>
      </c>
      <c r="N649" s="7" t="s">
        <v>40</v>
      </c>
    </row>
    <row r="650" customFormat="false" ht="29.85" hidden="false" customHeight="false" outlineLevel="0" collapsed="false">
      <c r="A650" s="6" t="n">
        <v>649</v>
      </c>
      <c r="B650" s="7" t="s">
        <v>1276</v>
      </c>
      <c r="C650" s="7" t="s">
        <v>1277</v>
      </c>
      <c r="D650" s="9" t="s">
        <v>1397</v>
      </c>
      <c r="E650" s="7" t="s">
        <v>1398</v>
      </c>
      <c r="F650" s="6" t="s">
        <v>476</v>
      </c>
      <c r="G650" s="7" t="s">
        <v>43</v>
      </c>
      <c r="H650" s="7" t="s">
        <v>38</v>
      </c>
      <c r="I650" s="7" t="s">
        <v>872</v>
      </c>
      <c r="J650" s="6" t="s">
        <v>1281</v>
      </c>
      <c r="K650" s="6" t="n">
        <v>1</v>
      </c>
      <c r="L650" s="7" t="s">
        <v>1282</v>
      </c>
      <c r="M650" s="6" t="n">
        <v>64</v>
      </c>
      <c r="N650" s="7" t="s">
        <v>40</v>
      </c>
    </row>
    <row r="651" customFormat="false" ht="29.85" hidden="false" customHeight="false" outlineLevel="0" collapsed="false">
      <c r="A651" s="6" t="n">
        <v>650</v>
      </c>
      <c r="B651" s="7" t="s">
        <v>1276</v>
      </c>
      <c r="C651" s="7" t="s">
        <v>1277</v>
      </c>
      <c r="D651" s="8" t="s">
        <v>1399</v>
      </c>
      <c r="E651" s="7" t="s">
        <v>1400</v>
      </c>
      <c r="F651" s="6" t="s">
        <v>476</v>
      </c>
      <c r="G651" s="7" t="s">
        <v>43</v>
      </c>
      <c r="H651" s="7" t="s">
        <v>38</v>
      </c>
      <c r="I651" s="7" t="s">
        <v>623</v>
      </c>
      <c r="J651" s="6" t="s">
        <v>1281</v>
      </c>
      <c r="K651" s="6" t="n">
        <v>1</v>
      </c>
      <c r="L651" s="7" t="s">
        <v>1282</v>
      </c>
      <c r="M651" s="6" t="n">
        <v>65</v>
      </c>
      <c r="N651" s="7" t="s">
        <v>40</v>
      </c>
    </row>
    <row r="652" customFormat="false" ht="29.85" hidden="false" customHeight="false" outlineLevel="0" collapsed="false">
      <c r="A652" s="6" t="n">
        <v>651</v>
      </c>
      <c r="B652" s="7" t="s">
        <v>1276</v>
      </c>
      <c r="C652" s="7" t="s">
        <v>1277</v>
      </c>
      <c r="D652" s="8" t="s">
        <v>1401</v>
      </c>
      <c r="E652" s="7" t="s">
        <v>1396</v>
      </c>
      <c r="F652" s="6" t="s">
        <v>476</v>
      </c>
      <c r="G652" s="7" t="s">
        <v>43</v>
      </c>
      <c r="H652" s="7" t="s">
        <v>38</v>
      </c>
      <c r="I652" s="7" t="s">
        <v>372</v>
      </c>
      <c r="J652" s="6" t="s">
        <v>1281</v>
      </c>
      <c r="K652" s="6" t="n">
        <v>1</v>
      </c>
      <c r="L652" s="7" t="s">
        <v>1282</v>
      </c>
      <c r="M652" s="6" t="n">
        <v>66</v>
      </c>
      <c r="N652" s="7" t="s">
        <v>40</v>
      </c>
    </row>
    <row r="653" customFormat="false" ht="29.85" hidden="false" customHeight="false" outlineLevel="0" collapsed="false">
      <c r="A653" s="6" t="n">
        <v>652</v>
      </c>
      <c r="B653" s="7" t="s">
        <v>1276</v>
      </c>
      <c r="C653" s="7" t="s">
        <v>1277</v>
      </c>
      <c r="D653" s="8" t="s">
        <v>1402</v>
      </c>
      <c r="E653" s="7" t="s">
        <v>1396</v>
      </c>
      <c r="F653" s="6" t="s">
        <v>476</v>
      </c>
      <c r="G653" s="7" t="s">
        <v>43</v>
      </c>
      <c r="H653" s="7" t="s">
        <v>38</v>
      </c>
      <c r="I653" s="7" t="s">
        <v>372</v>
      </c>
      <c r="J653" s="6" t="s">
        <v>1281</v>
      </c>
      <c r="K653" s="6" t="n">
        <v>1</v>
      </c>
      <c r="L653" s="7" t="s">
        <v>1282</v>
      </c>
      <c r="M653" s="6" t="n">
        <v>67</v>
      </c>
      <c r="N653" s="7" t="s">
        <v>40</v>
      </c>
    </row>
    <row r="654" customFormat="false" ht="29.85" hidden="false" customHeight="false" outlineLevel="0" collapsed="false">
      <c r="A654" s="6" t="n">
        <v>653</v>
      </c>
      <c r="B654" s="7" t="s">
        <v>1276</v>
      </c>
      <c r="C654" s="7" t="s">
        <v>1277</v>
      </c>
      <c r="D654" s="8" t="s">
        <v>1403</v>
      </c>
      <c r="E654" s="7" t="s">
        <v>1404</v>
      </c>
      <c r="F654" s="6" t="s">
        <v>37</v>
      </c>
      <c r="G654" s="7" t="s">
        <v>27</v>
      </c>
      <c r="H654" s="7" t="s">
        <v>38</v>
      </c>
      <c r="I654" s="7" t="s">
        <v>415</v>
      </c>
      <c r="J654" s="6" t="s">
        <v>1281</v>
      </c>
      <c r="K654" s="6" t="n">
        <v>1</v>
      </c>
      <c r="L654" s="7" t="s">
        <v>1282</v>
      </c>
      <c r="M654" s="6" t="n">
        <v>68</v>
      </c>
      <c r="N654" s="7" t="s">
        <v>40</v>
      </c>
    </row>
    <row r="655" customFormat="false" ht="29.85" hidden="false" customHeight="false" outlineLevel="0" collapsed="false">
      <c r="A655" s="6" t="n">
        <v>654</v>
      </c>
      <c r="B655" s="7" t="s">
        <v>1276</v>
      </c>
      <c r="C655" s="7" t="s">
        <v>1277</v>
      </c>
      <c r="D655" s="8" t="s">
        <v>1405</v>
      </c>
      <c r="E655" s="6" t="s">
        <v>1394</v>
      </c>
      <c r="F655" s="6" t="s">
        <v>37</v>
      </c>
      <c r="G655" s="7" t="s">
        <v>27</v>
      </c>
      <c r="H655" s="7" t="s">
        <v>38</v>
      </c>
      <c r="I655" s="7" t="s">
        <v>415</v>
      </c>
      <c r="J655" s="6" t="s">
        <v>1281</v>
      </c>
      <c r="K655" s="6" t="n">
        <v>1</v>
      </c>
      <c r="L655" s="7" t="s">
        <v>1282</v>
      </c>
      <c r="M655" s="6" t="n">
        <v>69</v>
      </c>
      <c r="N655" s="7" t="s">
        <v>40</v>
      </c>
    </row>
    <row r="656" customFormat="false" ht="29.85" hidden="false" customHeight="false" outlineLevel="0" collapsed="false">
      <c r="A656" s="6" t="n">
        <v>655</v>
      </c>
      <c r="B656" s="7" t="s">
        <v>1276</v>
      </c>
      <c r="C656" s="7" t="s">
        <v>1277</v>
      </c>
      <c r="D656" s="8" t="s">
        <v>1406</v>
      </c>
      <c r="E656" s="7" t="s">
        <v>1407</v>
      </c>
      <c r="F656" s="6" t="s">
        <v>476</v>
      </c>
      <c r="G656" s="7" t="s">
        <v>43</v>
      </c>
      <c r="H656" s="7" t="s">
        <v>38</v>
      </c>
      <c r="I656" s="7" t="s">
        <v>1043</v>
      </c>
      <c r="J656" s="6" t="s">
        <v>1281</v>
      </c>
      <c r="K656" s="6" t="n">
        <v>1</v>
      </c>
      <c r="L656" s="7" t="s">
        <v>1282</v>
      </c>
      <c r="M656" s="6" t="n">
        <v>70</v>
      </c>
      <c r="N656" s="7" t="s">
        <v>40</v>
      </c>
    </row>
    <row r="657" customFormat="false" ht="29.85" hidden="false" customHeight="false" outlineLevel="0" collapsed="false">
      <c r="A657" s="6" t="n">
        <v>656</v>
      </c>
      <c r="B657" s="7" t="s">
        <v>1276</v>
      </c>
      <c r="C657" s="7" t="s">
        <v>1277</v>
      </c>
      <c r="D657" s="8" t="s">
        <v>1408</v>
      </c>
      <c r="E657" s="7" t="s">
        <v>1407</v>
      </c>
      <c r="F657" s="6" t="s">
        <v>476</v>
      </c>
      <c r="G657" s="7" t="s">
        <v>43</v>
      </c>
      <c r="H657" s="7" t="s">
        <v>38</v>
      </c>
      <c r="I657" s="7" t="s">
        <v>1104</v>
      </c>
      <c r="J657" s="6" t="s">
        <v>1281</v>
      </c>
      <c r="K657" s="6" t="n">
        <v>1</v>
      </c>
      <c r="L657" s="7" t="s">
        <v>1282</v>
      </c>
      <c r="M657" s="6" t="n">
        <v>71</v>
      </c>
      <c r="N657" s="7" t="s">
        <v>40</v>
      </c>
    </row>
    <row r="658" customFormat="false" ht="29.85" hidden="false" customHeight="false" outlineLevel="0" collapsed="false">
      <c r="A658" s="6" t="n">
        <v>657</v>
      </c>
      <c r="B658" s="7" t="s">
        <v>1276</v>
      </c>
      <c r="C658" s="7" t="s">
        <v>1277</v>
      </c>
      <c r="D658" s="8" t="s">
        <v>1409</v>
      </c>
      <c r="E658" s="7" t="s">
        <v>1410</v>
      </c>
      <c r="F658" s="6" t="s">
        <v>476</v>
      </c>
      <c r="G658" s="7" t="s">
        <v>43</v>
      </c>
      <c r="H658" s="7" t="s">
        <v>38</v>
      </c>
      <c r="I658" s="7" t="s">
        <v>292</v>
      </c>
      <c r="J658" s="6" t="s">
        <v>1281</v>
      </c>
      <c r="K658" s="6" t="n">
        <v>1</v>
      </c>
      <c r="L658" s="7" t="s">
        <v>1282</v>
      </c>
      <c r="M658" s="6" t="n">
        <v>72</v>
      </c>
      <c r="N658" s="7" t="s">
        <v>40</v>
      </c>
    </row>
    <row r="659" customFormat="false" ht="29.85" hidden="false" customHeight="false" outlineLevel="0" collapsed="false">
      <c r="A659" s="6" t="n">
        <v>658</v>
      </c>
      <c r="B659" s="7" t="s">
        <v>1276</v>
      </c>
      <c r="C659" s="7" t="s">
        <v>1277</v>
      </c>
      <c r="D659" s="8" t="s">
        <v>1411</v>
      </c>
      <c r="E659" s="7" t="s">
        <v>1398</v>
      </c>
      <c r="F659" s="6" t="s">
        <v>476</v>
      </c>
      <c r="G659" s="7" t="s">
        <v>43</v>
      </c>
      <c r="H659" s="7" t="s">
        <v>38</v>
      </c>
      <c r="I659" s="7" t="s">
        <v>1412</v>
      </c>
      <c r="J659" s="6" t="s">
        <v>1281</v>
      </c>
      <c r="K659" s="6" t="n">
        <v>1</v>
      </c>
      <c r="L659" s="7" t="s">
        <v>1282</v>
      </c>
      <c r="M659" s="6" t="n">
        <v>73</v>
      </c>
      <c r="N659" s="7" t="s">
        <v>40</v>
      </c>
    </row>
    <row r="660" customFormat="false" ht="29.85" hidden="false" customHeight="false" outlineLevel="0" collapsed="false">
      <c r="A660" s="6" t="n">
        <v>659</v>
      </c>
      <c r="B660" s="7" t="s">
        <v>1276</v>
      </c>
      <c r="C660" s="7" t="s">
        <v>1277</v>
      </c>
      <c r="D660" s="8" t="s">
        <v>1413</v>
      </c>
      <c r="E660" s="6" t="s">
        <v>1414</v>
      </c>
      <c r="F660" s="6" t="s">
        <v>378</v>
      </c>
      <c r="G660" s="7" t="s">
        <v>27</v>
      </c>
      <c r="H660" s="7" t="s">
        <v>38</v>
      </c>
      <c r="I660" s="7" t="s">
        <v>1415</v>
      </c>
      <c r="J660" s="6" t="s">
        <v>1281</v>
      </c>
      <c r="K660" s="6" t="n">
        <v>1</v>
      </c>
      <c r="L660" s="7" t="s">
        <v>1282</v>
      </c>
      <c r="M660" s="6" t="n">
        <v>74</v>
      </c>
      <c r="N660" s="7" t="s">
        <v>40</v>
      </c>
    </row>
    <row r="661" customFormat="false" ht="29.85" hidden="false" customHeight="false" outlineLevel="0" collapsed="false">
      <c r="A661" s="6" t="n">
        <v>660</v>
      </c>
      <c r="B661" s="7" t="s">
        <v>1276</v>
      </c>
      <c r="C661" s="7" t="s">
        <v>1277</v>
      </c>
      <c r="D661" s="8" t="s">
        <v>1416</v>
      </c>
      <c r="E661" s="7" t="s">
        <v>1407</v>
      </c>
      <c r="F661" s="6" t="s">
        <v>476</v>
      </c>
      <c r="G661" s="7" t="s">
        <v>43</v>
      </c>
      <c r="H661" s="7" t="s">
        <v>38</v>
      </c>
      <c r="I661" s="7" t="s">
        <v>973</v>
      </c>
      <c r="J661" s="6" t="s">
        <v>1281</v>
      </c>
      <c r="K661" s="6" t="n">
        <v>1</v>
      </c>
      <c r="L661" s="7" t="s">
        <v>1282</v>
      </c>
      <c r="M661" s="6" t="n">
        <v>75</v>
      </c>
      <c r="N661" s="7" t="s">
        <v>40</v>
      </c>
    </row>
    <row r="662" customFormat="false" ht="29.85" hidden="false" customHeight="false" outlineLevel="0" collapsed="false">
      <c r="A662" s="6" t="n">
        <v>661</v>
      </c>
      <c r="B662" s="7" t="s">
        <v>1276</v>
      </c>
      <c r="C662" s="7" t="s">
        <v>1277</v>
      </c>
      <c r="D662" s="8" t="s">
        <v>1417</v>
      </c>
      <c r="E662" s="7" t="s">
        <v>1410</v>
      </c>
      <c r="F662" s="6" t="s">
        <v>476</v>
      </c>
      <c r="G662" s="7" t="s">
        <v>43</v>
      </c>
      <c r="H662" s="7" t="s">
        <v>38</v>
      </c>
      <c r="I662" s="7" t="s">
        <v>303</v>
      </c>
      <c r="J662" s="6" t="s">
        <v>1281</v>
      </c>
      <c r="K662" s="6" t="n">
        <v>1</v>
      </c>
      <c r="L662" s="7" t="s">
        <v>1282</v>
      </c>
      <c r="M662" s="6" t="n">
        <v>76</v>
      </c>
      <c r="N662" s="7" t="s">
        <v>40</v>
      </c>
    </row>
    <row r="663" customFormat="false" ht="29.85" hidden="false" customHeight="false" outlineLevel="0" collapsed="false">
      <c r="A663" s="6" t="n">
        <v>662</v>
      </c>
      <c r="B663" s="7" t="s">
        <v>1276</v>
      </c>
      <c r="C663" s="7" t="s">
        <v>1277</v>
      </c>
      <c r="D663" s="8" t="s">
        <v>1418</v>
      </c>
      <c r="E663" s="6" t="s">
        <v>1419</v>
      </c>
      <c r="F663" s="6" t="s">
        <v>378</v>
      </c>
      <c r="G663" s="7" t="s">
        <v>27</v>
      </c>
      <c r="H663" s="7" t="s">
        <v>38</v>
      </c>
      <c r="I663" s="7" t="s">
        <v>1420</v>
      </c>
      <c r="J663" s="6" t="s">
        <v>1281</v>
      </c>
      <c r="K663" s="6" t="n">
        <v>1</v>
      </c>
      <c r="L663" s="7" t="s">
        <v>1282</v>
      </c>
      <c r="M663" s="6" t="n">
        <v>77</v>
      </c>
      <c r="N663" s="7" t="s">
        <v>40</v>
      </c>
    </row>
    <row r="664" customFormat="false" ht="29.85" hidden="false" customHeight="false" outlineLevel="0" collapsed="false">
      <c r="A664" s="6" t="n">
        <v>663</v>
      </c>
      <c r="B664" s="7" t="s">
        <v>1276</v>
      </c>
      <c r="C664" s="7" t="s">
        <v>1277</v>
      </c>
      <c r="D664" s="8" t="s">
        <v>1421</v>
      </c>
      <c r="E664" s="7" t="s">
        <v>1422</v>
      </c>
      <c r="F664" s="6" t="s">
        <v>476</v>
      </c>
      <c r="G664" s="7" t="s">
        <v>43</v>
      </c>
      <c r="H664" s="7" t="s">
        <v>38</v>
      </c>
      <c r="I664" s="7" t="s">
        <v>53</v>
      </c>
      <c r="J664" s="6" t="s">
        <v>1281</v>
      </c>
      <c r="K664" s="6" t="n">
        <v>1</v>
      </c>
      <c r="L664" s="7" t="s">
        <v>1282</v>
      </c>
      <c r="M664" s="6" t="n">
        <v>78</v>
      </c>
      <c r="N664" s="7" t="s">
        <v>40</v>
      </c>
    </row>
    <row r="665" customFormat="false" ht="29.85" hidden="false" customHeight="false" outlineLevel="0" collapsed="false">
      <c r="A665" s="6" t="n">
        <v>664</v>
      </c>
      <c r="B665" s="7" t="s">
        <v>1276</v>
      </c>
      <c r="C665" s="7" t="s">
        <v>1277</v>
      </c>
      <c r="D665" s="8" t="s">
        <v>1423</v>
      </c>
      <c r="E665" s="7" t="s">
        <v>1422</v>
      </c>
      <c r="F665" s="6" t="s">
        <v>476</v>
      </c>
      <c r="G665" s="7" t="s">
        <v>43</v>
      </c>
      <c r="H665" s="7" t="s">
        <v>38</v>
      </c>
      <c r="I665" s="7" t="s">
        <v>309</v>
      </c>
      <c r="J665" s="6" t="s">
        <v>1281</v>
      </c>
      <c r="K665" s="6" t="n">
        <v>1</v>
      </c>
      <c r="L665" s="7" t="s">
        <v>1282</v>
      </c>
      <c r="M665" s="6" t="n">
        <v>79</v>
      </c>
      <c r="N665" s="7" t="s">
        <v>40</v>
      </c>
    </row>
    <row r="666" customFormat="false" ht="29.85" hidden="false" customHeight="false" outlineLevel="0" collapsed="false">
      <c r="A666" s="6" t="n">
        <v>665</v>
      </c>
      <c r="B666" s="7" t="s">
        <v>1276</v>
      </c>
      <c r="C666" s="7" t="s">
        <v>1277</v>
      </c>
      <c r="D666" s="8" t="s">
        <v>1424</v>
      </c>
      <c r="E666" s="7" t="s">
        <v>1398</v>
      </c>
      <c r="F666" s="6" t="s">
        <v>476</v>
      </c>
      <c r="G666" s="7" t="s">
        <v>43</v>
      </c>
      <c r="H666" s="7" t="s">
        <v>38</v>
      </c>
      <c r="I666" s="7" t="s">
        <v>1425</v>
      </c>
      <c r="J666" s="6" t="s">
        <v>1281</v>
      </c>
      <c r="K666" s="6" t="n">
        <v>1</v>
      </c>
      <c r="L666" s="7" t="s">
        <v>1282</v>
      </c>
      <c r="M666" s="6" t="n">
        <v>80</v>
      </c>
      <c r="N666" s="7" t="s">
        <v>40</v>
      </c>
    </row>
    <row r="667" customFormat="false" ht="29.85" hidden="false" customHeight="false" outlineLevel="0" collapsed="false">
      <c r="A667" s="6" t="n">
        <v>666</v>
      </c>
      <c r="B667" s="7" t="s">
        <v>1276</v>
      </c>
      <c r="C667" s="7" t="s">
        <v>1277</v>
      </c>
      <c r="D667" s="8" t="s">
        <v>1426</v>
      </c>
      <c r="E667" s="7" t="s">
        <v>1334</v>
      </c>
      <c r="F667" s="6" t="s">
        <v>476</v>
      </c>
      <c r="G667" s="7" t="s">
        <v>43</v>
      </c>
      <c r="H667" s="7" t="s">
        <v>38</v>
      </c>
      <c r="I667" s="7" t="s">
        <v>312</v>
      </c>
      <c r="J667" s="6" t="s">
        <v>1281</v>
      </c>
      <c r="K667" s="6" t="n">
        <v>1</v>
      </c>
      <c r="L667" s="7" t="s">
        <v>1282</v>
      </c>
      <c r="M667" s="6" t="n">
        <v>81</v>
      </c>
      <c r="N667" s="7" t="s">
        <v>40</v>
      </c>
    </row>
    <row r="668" customFormat="false" ht="29.85" hidden="false" customHeight="false" outlineLevel="0" collapsed="false">
      <c r="A668" s="6" t="n">
        <v>667</v>
      </c>
      <c r="B668" s="7" t="s">
        <v>1276</v>
      </c>
      <c r="C668" s="7" t="s">
        <v>1277</v>
      </c>
      <c r="D668" s="8" t="s">
        <v>1427</v>
      </c>
      <c r="E668" s="7" t="s">
        <v>1428</v>
      </c>
      <c r="F668" s="6" t="s">
        <v>476</v>
      </c>
      <c r="G668" s="7" t="s">
        <v>43</v>
      </c>
      <c r="H668" s="7" t="s">
        <v>38</v>
      </c>
      <c r="I668" s="7" t="s">
        <v>1119</v>
      </c>
      <c r="J668" s="6" t="s">
        <v>1281</v>
      </c>
      <c r="K668" s="6" t="n">
        <v>1</v>
      </c>
      <c r="L668" s="7" t="s">
        <v>1282</v>
      </c>
      <c r="M668" s="6" t="n">
        <v>82</v>
      </c>
      <c r="N668" s="7" t="s">
        <v>40</v>
      </c>
    </row>
    <row r="669" customFormat="false" ht="29.85" hidden="false" customHeight="false" outlineLevel="0" collapsed="false">
      <c r="A669" s="6" t="n">
        <v>668</v>
      </c>
      <c r="B669" s="7" t="s">
        <v>1276</v>
      </c>
      <c r="C669" s="7" t="s">
        <v>1277</v>
      </c>
      <c r="D669" s="8" t="s">
        <v>1429</v>
      </c>
      <c r="E669" s="7" t="s">
        <v>1410</v>
      </c>
      <c r="F669" s="6" t="s">
        <v>476</v>
      </c>
      <c r="G669" s="7" t="s">
        <v>43</v>
      </c>
      <c r="H669" s="7" t="s">
        <v>38</v>
      </c>
      <c r="I669" s="7" t="s">
        <v>1430</v>
      </c>
      <c r="J669" s="6" t="s">
        <v>1281</v>
      </c>
      <c r="K669" s="6" t="n">
        <v>1</v>
      </c>
      <c r="L669" s="7" t="s">
        <v>1282</v>
      </c>
      <c r="M669" s="6" t="n">
        <v>83</v>
      </c>
      <c r="N669" s="7" t="s">
        <v>40</v>
      </c>
    </row>
    <row r="670" customFormat="false" ht="44" hidden="false" customHeight="false" outlineLevel="0" collapsed="false">
      <c r="A670" s="6" t="n">
        <v>669</v>
      </c>
      <c r="B670" s="7" t="s">
        <v>1276</v>
      </c>
      <c r="C670" s="7" t="s">
        <v>1277</v>
      </c>
      <c r="D670" s="8" t="s">
        <v>1431</v>
      </c>
      <c r="E670" s="7" t="s">
        <v>1358</v>
      </c>
      <c r="F670" s="6" t="s">
        <v>476</v>
      </c>
      <c r="G670" s="7" t="s">
        <v>43</v>
      </c>
      <c r="H670" s="7" t="s">
        <v>38</v>
      </c>
      <c r="I670" s="7" t="s">
        <v>127</v>
      </c>
      <c r="J670" s="6" t="s">
        <v>1281</v>
      </c>
      <c r="K670" s="6" t="n">
        <v>1</v>
      </c>
      <c r="L670" s="7" t="s">
        <v>1282</v>
      </c>
      <c r="M670" s="6" t="n">
        <v>84</v>
      </c>
      <c r="N670" s="7" t="s">
        <v>40</v>
      </c>
    </row>
    <row r="671" customFormat="false" ht="44" hidden="false" customHeight="false" outlineLevel="0" collapsed="false">
      <c r="A671" s="6" t="n">
        <v>670</v>
      </c>
      <c r="B671" s="7" t="s">
        <v>1276</v>
      </c>
      <c r="C671" s="7" t="s">
        <v>1277</v>
      </c>
      <c r="D671" s="8" t="s">
        <v>1432</v>
      </c>
      <c r="E671" s="7" t="s">
        <v>1433</v>
      </c>
      <c r="F671" s="6" t="s">
        <v>476</v>
      </c>
      <c r="G671" s="7" t="s">
        <v>43</v>
      </c>
      <c r="H671" s="7" t="s">
        <v>38</v>
      </c>
      <c r="I671" s="7" t="s">
        <v>687</v>
      </c>
      <c r="J671" s="6" t="s">
        <v>1281</v>
      </c>
      <c r="K671" s="6" t="n">
        <v>1</v>
      </c>
      <c r="L671" s="7" t="s">
        <v>1282</v>
      </c>
      <c r="M671" s="6" t="n">
        <v>85</v>
      </c>
      <c r="N671" s="7" t="s">
        <v>40</v>
      </c>
    </row>
    <row r="672" customFormat="false" ht="44" hidden="false" customHeight="false" outlineLevel="0" collapsed="false">
      <c r="A672" s="6" t="n">
        <v>671</v>
      </c>
      <c r="B672" s="7" t="s">
        <v>1276</v>
      </c>
      <c r="C672" s="7" t="s">
        <v>1277</v>
      </c>
      <c r="D672" s="8" t="s">
        <v>1434</v>
      </c>
      <c r="E672" s="7" t="s">
        <v>1435</v>
      </c>
      <c r="F672" s="6" t="s">
        <v>476</v>
      </c>
      <c r="G672" s="7" t="s">
        <v>43</v>
      </c>
      <c r="H672" s="7" t="s">
        <v>38</v>
      </c>
      <c r="I672" s="7" t="s">
        <v>1270</v>
      </c>
      <c r="J672" s="6" t="s">
        <v>1281</v>
      </c>
      <c r="K672" s="6" t="n">
        <v>1</v>
      </c>
      <c r="L672" s="7" t="s">
        <v>1282</v>
      </c>
      <c r="M672" s="6" t="n">
        <v>86</v>
      </c>
      <c r="N672" s="7" t="s">
        <v>40</v>
      </c>
    </row>
    <row r="673" customFormat="false" ht="44" hidden="false" customHeight="false" outlineLevel="0" collapsed="false">
      <c r="A673" s="6" t="n">
        <v>672</v>
      </c>
      <c r="B673" s="7" t="s">
        <v>1276</v>
      </c>
      <c r="C673" s="7" t="s">
        <v>1277</v>
      </c>
      <c r="D673" s="9" t="s">
        <v>1436</v>
      </c>
      <c r="E673" s="7" t="s">
        <v>1437</v>
      </c>
      <c r="F673" s="6" t="s">
        <v>476</v>
      </c>
      <c r="G673" s="7" t="s">
        <v>43</v>
      </c>
      <c r="H673" s="7" t="s">
        <v>38</v>
      </c>
      <c r="I673" s="7" t="s">
        <v>1438</v>
      </c>
      <c r="J673" s="6" t="s">
        <v>1281</v>
      </c>
      <c r="K673" s="6" t="n">
        <v>1</v>
      </c>
      <c r="L673" s="7" t="s">
        <v>1282</v>
      </c>
      <c r="M673" s="6" t="n">
        <v>87</v>
      </c>
      <c r="N673" s="7" t="s">
        <v>40</v>
      </c>
    </row>
    <row r="674" customFormat="false" ht="44" hidden="false" customHeight="false" outlineLevel="0" collapsed="false">
      <c r="A674" s="6" t="n">
        <v>673</v>
      </c>
      <c r="B674" s="7" t="s">
        <v>1276</v>
      </c>
      <c r="C674" s="7" t="s">
        <v>1277</v>
      </c>
      <c r="D674" s="8" t="s">
        <v>1439</v>
      </c>
      <c r="E674" s="7" t="s">
        <v>1330</v>
      </c>
      <c r="F674" s="6" t="s">
        <v>476</v>
      </c>
      <c r="G674" s="7" t="s">
        <v>43</v>
      </c>
      <c r="H674" s="7" t="s">
        <v>38</v>
      </c>
      <c r="I674" s="7" t="s">
        <v>1440</v>
      </c>
      <c r="J674" s="6" t="s">
        <v>1281</v>
      </c>
      <c r="K674" s="6" t="n">
        <v>1</v>
      </c>
      <c r="L674" s="7" t="s">
        <v>1282</v>
      </c>
      <c r="M674" s="6" t="n">
        <v>88</v>
      </c>
      <c r="N674" s="7" t="s">
        <v>40</v>
      </c>
    </row>
    <row r="675" customFormat="false" ht="29.85" hidden="false" customHeight="false" outlineLevel="0" collapsed="false">
      <c r="A675" s="6" t="n">
        <v>674</v>
      </c>
      <c r="B675" s="7" t="s">
        <v>1276</v>
      </c>
      <c r="C675" s="7" t="s">
        <v>1277</v>
      </c>
      <c r="D675" s="8" t="s">
        <v>1441</v>
      </c>
      <c r="E675" s="6" t="s">
        <v>1369</v>
      </c>
      <c r="F675" s="6" t="s">
        <v>378</v>
      </c>
      <c r="G675" s="7" t="s">
        <v>27</v>
      </c>
      <c r="H675" s="10" t="s">
        <v>389</v>
      </c>
      <c r="I675" s="7" t="s">
        <v>921</v>
      </c>
      <c r="J675" s="6" t="s">
        <v>1281</v>
      </c>
      <c r="K675" s="6" t="n">
        <v>1</v>
      </c>
      <c r="L675" s="7" t="s">
        <v>1282</v>
      </c>
      <c r="M675" s="6" t="n">
        <v>89</v>
      </c>
      <c r="N675" s="7" t="s">
        <v>40</v>
      </c>
    </row>
    <row r="676" customFormat="false" ht="29.85" hidden="false" customHeight="false" outlineLevel="0" collapsed="false">
      <c r="A676" s="6" t="n">
        <v>675</v>
      </c>
      <c r="B676" s="7" t="s">
        <v>1276</v>
      </c>
      <c r="C676" s="7" t="s">
        <v>1277</v>
      </c>
      <c r="D676" s="9" t="s">
        <v>1442</v>
      </c>
      <c r="E676" s="6" t="s">
        <v>1443</v>
      </c>
      <c r="F676" s="6" t="s">
        <v>378</v>
      </c>
      <c r="G676" s="7" t="s">
        <v>27</v>
      </c>
      <c r="H676" s="10" t="s">
        <v>389</v>
      </c>
      <c r="I676" s="7" t="s">
        <v>1273</v>
      </c>
      <c r="J676" s="6" t="s">
        <v>1281</v>
      </c>
      <c r="K676" s="6" t="n">
        <v>1</v>
      </c>
      <c r="L676" s="7" t="s">
        <v>1282</v>
      </c>
      <c r="M676" s="6" t="n">
        <v>90</v>
      </c>
      <c r="N676" s="7" t="s">
        <v>40</v>
      </c>
    </row>
    <row r="677" customFormat="false" ht="15" hidden="false" customHeight="false" outlineLevel="0" collapsed="false">
      <c r="A677" s="6" t="n">
        <v>676</v>
      </c>
      <c r="B677" s="7" t="s">
        <v>1276</v>
      </c>
      <c r="C677" s="7" t="s">
        <v>1444</v>
      </c>
      <c r="D677" s="8" t="s">
        <v>1445</v>
      </c>
      <c r="E677" s="7" t="s">
        <v>1446</v>
      </c>
      <c r="F677" s="6" t="s">
        <v>476</v>
      </c>
      <c r="G677" s="7" t="s">
        <v>43</v>
      </c>
      <c r="H677" s="7" t="s">
        <v>20</v>
      </c>
      <c r="I677" s="7" t="s">
        <v>32</v>
      </c>
      <c r="J677" s="6" t="s">
        <v>1281</v>
      </c>
      <c r="K677" s="6" t="n">
        <v>2</v>
      </c>
      <c r="L677" s="7" t="s">
        <v>1447</v>
      </c>
      <c r="M677" s="6" t="n">
        <v>1</v>
      </c>
      <c r="N677" s="7" t="s">
        <v>24</v>
      </c>
    </row>
    <row r="678" customFormat="false" ht="15" hidden="false" customHeight="false" outlineLevel="0" collapsed="false">
      <c r="A678" s="6" t="n">
        <v>677</v>
      </c>
      <c r="B678" s="7" t="s">
        <v>1276</v>
      </c>
      <c r="C678" s="7" t="s">
        <v>1444</v>
      </c>
      <c r="D678" s="8" t="s">
        <v>1448</v>
      </c>
      <c r="E678" s="7" t="s">
        <v>1449</v>
      </c>
      <c r="F678" s="6" t="s">
        <v>476</v>
      </c>
      <c r="G678" s="7" t="s">
        <v>43</v>
      </c>
      <c r="H678" s="7" t="s">
        <v>20</v>
      </c>
      <c r="I678" s="7" t="s">
        <v>138</v>
      </c>
      <c r="J678" s="6" t="s">
        <v>1281</v>
      </c>
      <c r="K678" s="6" t="n">
        <v>2</v>
      </c>
      <c r="L678" s="7" t="s">
        <v>1447</v>
      </c>
      <c r="M678" s="6" t="n">
        <v>2</v>
      </c>
      <c r="N678" s="7" t="s">
        <v>24</v>
      </c>
    </row>
    <row r="679" customFormat="false" ht="15" hidden="false" customHeight="false" outlineLevel="0" collapsed="false">
      <c r="A679" s="6" t="n">
        <v>678</v>
      </c>
      <c r="B679" s="7" t="s">
        <v>1276</v>
      </c>
      <c r="C679" s="7" t="s">
        <v>1444</v>
      </c>
      <c r="D679" s="8" t="s">
        <v>1450</v>
      </c>
      <c r="E679" s="7" t="s">
        <v>1451</v>
      </c>
      <c r="F679" s="6" t="s">
        <v>476</v>
      </c>
      <c r="G679" s="7" t="s">
        <v>43</v>
      </c>
      <c r="H679" s="7" t="s">
        <v>20</v>
      </c>
      <c r="I679" s="7" t="s">
        <v>46</v>
      </c>
      <c r="J679" s="6" t="s">
        <v>1281</v>
      </c>
      <c r="K679" s="6" t="n">
        <v>2</v>
      </c>
      <c r="L679" s="7" t="s">
        <v>1447</v>
      </c>
      <c r="M679" s="6" t="n">
        <v>3</v>
      </c>
      <c r="N679" s="7" t="s">
        <v>24</v>
      </c>
    </row>
    <row r="680" customFormat="false" ht="29.85" hidden="false" customHeight="false" outlineLevel="0" collapsed="false">
      <c r="A680" s="6" t="n">
        <v>679</v>
      </c>
      <c r="B680" s="7" t="s">
        <v>1276</v>
      </c>
      <c r="C680" s="7" t="s">
        <v>1444</v>
      </c>
      <c r="D680" s="8" t="s">
        <v>1452</v>
      </c>
      <c r="E680" s="7" t="s">
        <v>1453</v>
      </c>
      <c r="F680" s="6" t="s">
        <v>476</v>
      </c>
      <c r="G680" s="7" t="s">
        <v>43</v>
      </c>
      <c r="H680" s="7" t="s">
        <v>20</v>
      </c>
      <c r="I680" s="7" t="s">
        <v>192</v>
      </c>
      <c r="J680" s="6" t="s">
        <v>1281</v>
      </c>
      <c r="K680" s="6" t="n">
        <v>2</v>
      </c>
      <c r="L680" s="7" t="s">
        <v>1447</v>
      </c>
      <c r="M680" s="6" t="n">
        <v>4</v>
      </c>
      <c r="N680" s="7" t="s">
        <v>24</v>
      </c>
    </row>
    <row r="681" customFormat="false" ht="15" hidden="false" customHeight="false" outlineLevel="0" collapsed="false">
      <c r="A681" s="6" t="n">
        <v>680</v>
      </c>
      <c r="B681" s="7" t="s">
        <v>1276</v>
      </c>
      <c r="C681" s="7" t="s">
        <v>1444</v>
      </c>
      <c r="D681" s="8" t="s">
        <v>1454</v>
      </c>
      <c r="E681" s="7" t="s">
        <v>1455</v>
      </c>
      <c r="F681" s="6" t="s">
        <v>82</v>
      </c>
      <c r="G681" s="7" t="s">
        <v>27</v>
      </c>
      <c r="H681" s="7" t="s">
        <v>38</v>
      </c>
      <c r="I681" s="7" t="s">
        <v>1152</v>
      </c>
      <c r="J681" s="6" t="s">
        <v>1281</v>
      </c>
      <c r="K681" s="6" t="n">
        <v>2</v>
      </c>
      <c r="L681" s="7" t="s">
        <v>1447</v>
      </c>
      <c r="M681" s="6" t="n">
        <v>5</v>
      </c>
      <c r="N681" s="7" t="s">
        <v>40</v>
      </c>
    </row>
    <row r="682" customFormat="false" ht="29.85" hidden="false" customHeight="false" outlineLevel="0" collapsed="false">
      <c r="A682" s="6" t="n">
        <v>681</v>
      </c>
      <c r="B682" s="7" t="s">
        <v>1276</v>
      </c>
      <c r="C682" s="7" t="s">
        <v>1444</v>
      </c>
      <c r="D682" s="8" t="s">
        <v>1456</v>
      </c>
      <c r="E682" s="7" t="s">
        <v>1457</v>
      </c>
      <c r="F682" s="6" t="s">
        <v>526</v>
      </c>
      <c r="G682" s="7" t="s">
        <v>43</v>
      </c>
      <c r="H682" s="7" t="s">
        <v>20</v>
      </c>
      <c r="I682" s="7" t="s">
        <v>76</v>
      </c>
      <c r="J682" s="6" t="s">
        <v>1281</v>
      </c>
      <c r="K682" s="6" t="n">
        <v>2</v>
      </c>
      <c r="L682" s="7" t="s">
        <v>1447</v>
      </c>
      <c r="M682" s="6" t="n">
        <v>6</v>
      </c>
      <c r="N682" s="7" t="s">
        <v>24</v>
      </c>
    </row>
    <row r="683" customFormat="false" ht="29.85" hidden="false" customHeight="false" outlineLevel="0" collapsed="false">
      <c r="A683" s="6" t="n">
        <v>682</v>
      </c>
      <c r="B683" s="7" t="s">
        <v>1276</v>
      </c>
      <c r="C683" s="7" t="s">
        <v>1444</v>
      </c>
      <c r="D683" s="8" t="s">
        <v>1458</v>
      </c>
      <c r="E683" s="7" t="s">
        <v>1459</v>
      </c>
      <c r="F683" s="6" t="s">
        <v>476</v>
      </c>
      <c r="G683" s="7" t="s">
        <v>43</v>
      </c>
      <c r="H683" s="7" t="s">
        <v>20</v>
      </c>
      <c r="I683" s="7" t="s">
        <v>85</v>
      </c>
      <c r="J683" s="6" t="s">
        <v>1281</v>
      </c>
      <c r="K683" s="6" t="n">
        <v>2</v>
      </c>
      <c r="L683" s="7" t="s">
        <v>1447</v>
      </c>
      <c r="M683" s="6" t="n">
        <v>7</v>
      </c>
      <c r="N683" s="7" t="s">
        <v>24</v>
      </c>
    </row>
    <row r="684" customFormat="false" ht="29.85" hidden="false" customHeight="false" outlineLevel="0" collapsed="false">
      <c r="A684" s="6" t="n">
        <v>683</v>
      </c>
      <c r="B684" s="7" t="s">
        <v>1276</v>
      </c>
      <c r="C684" s="7" t="s">
        <v>1444</v>
      </c>
      <c r="D684" s="8" t="s">
        <v>1460</v>
      </c>
      <c r="E684" s="7" t="s">
        <v>1453</v>
      </c>
      <c r="F684" s="6" t="s">
        <v>476</v>
      </c>
      <c r="G684" s="7" t="s">
        <v>43</v>
      </c>
      <c r="H684" s="7" t="s">
        <v>20</v>
      </c>
      <c r="I684" s="7" t="s">
        <v>88</v>
      </c>
      <c r="J684" s="6" t="s">
        <v>1281</v>
      </c>
      <c r="K684" s="6" t="n">
        <v>2</v>
      </c>
      <c r="L684" s="7" t="s">
        <v>1447</v>
      </c>
      <c r="M684" s="6" t="n">
        <v>8</v>
      </c>
      <c r="N684" s="7" t="s">
        <v>24</v>
      </c>
    </row>
    <row r="685" customFormat="false" ht="29.85" hidden="false" customHeight="false" outlineLevel="0" collapsed="false">
      <c r="A685" s="6" t="n">
        <v>684</v>
      </c>
      <c r="B685" s="7" t="s">
        <v>1276</v>
      </c>
      <c r="C685" s="7" t="s">
        <v>1444</v>
      </c>
      <c r="D685" s="8" t="s">
        <v>1461</v>
      </c>
      <c r="E685" s="7" t="s">
        <v>1462</v>
      </c>
      <c r="F685" s="6" t="s">
        <v>476</v>
      </c>
      <c r="G685" s="7" t="s">
        <v>43</v>
      </c>
      <c r="H685" s="7" t="s">
        <v>20</v>
      </c>
      <c r="I685" s="7" t="s">
        <v>457</v>
      </c>
      <c r="J685" s="6" t="s">
        <v>1281</v>
      </c>
      <c r="K685" s="6" t="n">
        <v>2</v>
      </c>
      <c r="L685" s="7" t="s">
        <v>1447</v>
      </c>
      <c r="M685" s="6" t="n">
        <v>9</v>
      </c>
      <c r="N685" s="7" t="s">
        <v>24</v>
      </c>
    </row>
    <row r="686" customFormat="false" ht="15" hidden="false" customHeight="false" outlineLevel="0" collapsed="false">
      <c r="A686" s="6" t="n">
        <v>685</v>
      </c>
      <c r="B686" s="7" t="s">
        <v>1276</v>
      </c>
      <c r="C686" s="7" t="s">
        <v>1444</v>
      </c>
      <c r="D686" s="8" t="s">
        <v>1463</v>
      </c>
      <c r="E686" s="7" t="s">
        <v>1464</v>
      </c>
      <c r="F686" s="6" t="s">
        <v>37</v>
      </c>
      <c r="G686" s="7" t="s">
        <v>27</v>
      </c>
      <c r="H686" s="7" t="s">
        <v>38</v>
      </c>
      <c r="I686" s="7" t="s">
        <v>1348</v>
      </c>
      <c r="J686" s="6" t="s">
        <v>1281</v>
      </c>
      <c r="K686" s="6" t="n">
        <v>2</v>
      </c>
      <c r="L686" s="7" t="s">
        <v>1447</v>
      </c>
      <c r="M686" s="6" t="n">
        <v>10</v>
      </c>
      <c r="N686" s="7" t="s">
        <v>40</v>
      </c>
    </row>
    <row r="687" customFormat="false" ht="29.85" hidden="false" customHeight="false" outlineLevel="0" collapsed="false">
      <c r="A687" s="6" t="n">
        <v>686</v>
      </c>
      <c r="B687" s="7" t="s">
        <v>1276</v>
      </c>
      <c r="C687" s="7" t="s">
        <v>1444</v>
      </c>
      <c r="D687" s="8" t="s">
        <v>1465</v>
      </c>
      <c r="E687" s="7" t="s">
        <v>1457</v>
      </c>
      <c r="F687" s="6" t="s">
        <v>526</v>
      </c>
      <c r="G687" s="7" t="s">
        <v>43</v>
      </c>
      <c r="H687" s="7" t="s">
        <v>20</v>
      </c>
      <c r="I687" s="7" t="s">
        <v>51</v>
      </c>
      <c r="J687" s="6" t="s">
        <v>1281</v>
      </c>
      <c r="K687" s="6" t="n">
        <v>2</v>
      </c>
      <c r="L687" s="7" t="s">
        <v>1447</v>
      </c>
      <c r="M687" s="6" t="n">
        <v>11</v>
      </c>
      <c r="N687" s="7" t="s">
        <v>24</v>
      </c>
    </row>
    <row r="688" customFormat="false" ht="29.85" hidden="false" customHeight="false" outlineLevel="0" collapsed="false">
      <c r="A688" s="6" t="n">
        <v>687</v>
      </c>
      <c r="B688" s="7" t="s">
        <v>1276</v>
      </c>
      <c r="C688" s="7" t="s">
        <v>1444</v>
      </c>
      <c r="D688" s="8" t="s">
        <v>1466</v>
      </c>
      <c r="E688" s="7" t="s">
        <v>1446</v>
      </c>
      <c r="F688" s="6" t="s">
        <v>476</v>
      </c>
      <c r="G688" s="7" t="s">
        <v>43</v>
      </c>
      <c r="H688" s="7" t="s">
        <v>20</v>
      </c>
      <c r="I688" s="7" t="s">
        <v>51</v>
      </c>
      <c r="J688" s="6" t="s">
        <v>1281</v>
      </c>
      <c r="K688" s="6" t="n">
        <v>2</v>
      </c>
      <c r="L688" s="7" t="s">
        <v>1447</v>
      </c>
      <c r="M688" s="6" t="n">
        <v>12</v>
      </c>
      <c r="N688" s="7" t="s">
        <v>24</v>
      </c>
    </row>
    <row r="689" customFormat="false" ht="29.85" hidden="false" customHeight="false" outlineLevel="0" collapsed="false">
      <c r="A689" s="6" t="n">
        <v>688</v>
      </c>
      <c r="B689" s="7" t="s">
        <v>1276</v>
      </c>
      <c r="C689" s="7" t="s">
        <v>1444</v>
      </c>
      <c r="D689" s="8" t="s">
        <v>1467</v>
      </c>
      <c r="E689" s="7" t="s">
        <v>1468</v>
      </c>
      <c r="F689" s="6" t="s">
        <v>476</v>
      </c>
      <c r="G689" s="7" t="s">
        <v>43</v>
      </c>
      <c r="H689" s="7" t="s">
        <v>20</v>
      </c>
      <c r="I689" s="7" t="s">
        <v>201</v>
      </c>
      <c r="J689" s="6" t="s">
        <v>1281</v>
      </c>
      <c r="K689" s="6" t="n">
        <v>2</v>
      </c>
      <c r="L689" s="7" t="s">
        <v>1447</v>
      </c>
      <c r="M689" s="6" t="n">
        <v>13</v>
      </c>
      <c r="N689" s="7" t="s">
        <v>24</v>
      </c>
    </row>
    <row r="690" customFormat="false" ht="29.85" hidden="false" customHeight="false" outlineLevel="0" collapsed="false">
      <c r="A690" s="6" t="n">
        <v>689</v>
      </c>
      <c r="B690" s="7" t="s">
        <v>1276</v>
      </c>
      <c r="C690" s="7" t="s">
        <v>1444</v>
      </c>
      <c r="D690" s="8" t="s">
        <v>1469</v>
      </c>
      <c r="E690" s="7" t="s">
        <v>1462</v>
      </c>
      <c r="F690" s="6" t="s">
        <v>476</v>
      </c>
      <c r="G690" s="7" t="s">
        <v>43</v>
      </c>
      <c r="H690" s="7" t="s">
        <v>20</v>
      </c>
      <c r="I690" s="7" t="s">
        <v>201</v>
      </c>
      <c r="J690" s="6" t="s">
        <v>1281</v>
      </c>
      <c r="K690" s="6" t="n">
        <v>2</v>
      </c>
      <c r="L690" s="7" t="s">
        <v>1447</v>
      </c>
      <c r="M690" s="6" t="n">
        <v>14</v>
      </c>
      <c r="N690" s="7" t="s">
        <v>24</v>
      </c>
    </row>
    <row r="691" customFormat="false" ht="15" hidden="false" customHeight="false" outlineLevel="0" collapsed="false">
      <c r="A691" s="6" t="n">
        <v>690</v>
      </c>
      <c r="B691" s="7" t="s">
        <v>1276</v>
      </c>
      <c r="C691" s="7" t="s">
        <v>1444</v>
      </c>
      <c r="D691" s="8" t="s">
        <v>1470</v>
      </c>
      <c r="E691" s="7" t="s">
        <v>1471</v>
      </c>
      <c r="F691" s="6" t="s">
        <v>37</v>
      </c>
      <c r="G691" s="7" t="s">
        <v>27</v>
      </c>
      <c r="H691" s="7" t="s">
        <v>38</v>
      </c>
      <c r="I691" s="7" t="s">
        <v>95</v>
      </c>
      <c r="J691" s="6" t="s">
        <v>1281</v>
      </c>
      <c r="K691" s="6" t="n">
        <v>2</v>
      </c>
      <c r="L691" s="7" t="s">
        <v>1447</v>
      </c>
      <c r="M691" s="6" t="n">
        <v>15</v>
      </c>
      <c r="N691" s="7" t="s">
        <v>40</v>
      </c>
    </row>
    <row r="692" customFormat="false" ht="29.85" hidden="false" customHeight="false" outlineLevel="0" collapsed="false">
      <c r="A692" s="6" t="n">
        <v>691</v>
      </c>
      <c r="B692" s="7" t="s">
        <v>1276</v>
      </c>
      <c r="C692" s="7" t="s">
        <v>1444</v>
      </c>
      <c r="D692" s="8" t="s">
        <v>1472</v>
      </c>
      <c r="E692" s="7" t="s">
        <v>1446</v>
      </c>
      <c r="F692" s="6" t="s">
        <v>476</v>
      </c>
      <c r="G692" s="7" t="s">
        <v>43</v>
      </c>
      <c r="H692" s="7" t="s">
        <v>20</v>
      </c>
      <c r="I692" s="7" t="s">
        <v>203</v>
      </c>
      <c r="J692" s="6" t="s">
        <v>1281</v>
      </c>
      <c r="K692" s="6" t="n">
        <v>2</v>
      </c>
      <c r="L692" s="7" t="s">
        <v>1447</v>
      </c>
      <c r="M692" s="6" t="n">
        <v>16</v>
      </c>
      <c r="N692" s="7" t="s">
        <v>24</v>
      </c>
    </row>
    <row r="693" customFormat="false" ht="29.85" hidden="false" customHeight="false" outlineLevel="0" collapsed="false">
      <c r="A693" s="6" t="n">
        <v>692</v>
      </c>
      <c r="B693" s="7" t="s">
        <v>1276</v>
      </c>
      <c r="C693" s="7" t="s">
        <v>1444</v>
      </c>
      <c r="D693" s="8" t="s">
        <v>1473</v>
      </c>
      <c r="E693" s="7" t="s">
        <v>1457</v>
      </c>
      <c r="F693" s="6" t="s">
        <v>526</v>
      </c>
      <c r="G693" s="7" t="s">
        <v>43</v>
      </c>
      <c r="H693" s="7" t="s">
        <v>20</v>
      </c>
      <c r="I693" s="7" t="s">
        <v>117</v>
      </c>
      <c r="J693" s="6" t="s">
        <v>1281</v>
      </c>
      <c r="K693" s="6" t="n">
        <v>2</v>
      </c>
      <c r="L693" s="7" t="s">
        <v>1447</v>
      </c>
      <c r="M693" s="6" t="n">
        <v>17</v>
      </c>
      <c r="N693" s="7" t="s">
        <v>24</v>
      </c>
    </row>
    <row r="694" customFormat="false" ht="15" hidden="false" customHeight="false" outlineLevel="0" collapsed="false">
      <c r="A694" s="6" t="n">
        <v>693</v>
      </c>
      <c r="B694" s="7" t="s">
        <v>1276</v>
      </c>
      <c r="C694" s="7" t="s">
        <v>1444</v>
      </c>
      <c r="D694" s="8" t="s">
        <v>1474</v>
      </c>
      <c r="E694" s="7" t="s">
        <v>1475</v>
      </c>
      <c r="F694" s="6" t="s">
        <v>37</v>
      </c>
      <c r="G694" s="7" t="s">
        <v>27</v>
      </c>
      <c r="H694" s="7" t="s">
        <v>38</v>
      </c>
      <c r="I694" s="7" t="s">
        <v>108</v>
      </c>
      <c r="J694" s="6" t="s">
        <v>1281</v>
      </c>
      <c r="K694" s="6" t="n">
        <v>2</v>
      </c>
      <c r="L694" s="7" t="s">
        <v>1447</v>
      </c>
      <c r="M694" s="6" t="n">
        <v>18</v>
      </c>
      <c r="N694" s="7" t="s">
        <v>40</v>
      </c>
    </row>
    <row r="695" customFormat="false" ht="15" hidden="false" customHeight="false" outlineLevel="0" collapsed="false">
      <c r="A695" s="6" t="n">
        <v>694</v>
      </c>
      <c r="B695" s="7" t="s">
        <v>1276</v>
      </c>
      <c r="C695" s="7" t="s">
        <v>1444</v>
      </c>
      <c r="D695" s="8" t="s">
        <v>1476</v>
      </c>
      <c r="E695" s="7" t="s">
        <v>1477</v>
      </c>
      <c r="F695" s="6" t="s">
        <v>37</v>
      </c>
      <c r="G695" s="7" t="s">
        <v>27</v>
      </c>
      <c r="H695" s="7" t="s">
        <v>38</v>
      </c>
      <c r="I695" s="7" t="s">
        <v>108</v>
      </c>
      <c r="J695" s="6" t="s">
        <v>1281</v>
      </c>
      <c r="K695" s="6" t="n">
        <v>2</v>
      </c>
      <c r="L695" s="7" t="s">
        <v>1447</v>
      </c>
      <c r="M695" s="6" t="n">
        <v>19</v>
      </c>
      <c r="N695" s="7" t="s">
        <v>40</v>
      </c>
    </row>
    <row r="696" customFormat="false" ht="15" hidden="false" customHeight="false" outlineLevel="0" collapsed="false">
      <c r="A696" s="6" t="n">
        <v>695</v>
      </c>
      <c r="B696" s="7" t="s">
        <v>1276</v>
      </c>
      <c r="C696" s="7" t="s">
        <v>1444</v>
      </c>
      <c r="D696" s="8" t="s">
        <v>1478</v>
      </c>
      <c r="E696" s="7" t="s">
        <v>1479</v>
      </c>
      <c r="F696" s="6" t="s">
        <v>37</v>
      </c>
      <c r="G696" s="7" t="s">
        <v>27</v>
      </c>
      <c r="H696" s="7" t="s">
        <v>38</v>
      </c>
      <c r="I696" s="7" t="s">
        <v>108</v>
      </c>
      <c r="J696" s="6" t="s">
        <v>1281</v>
      </c>
      <c r="K696" s="6" t="n">
        <v>2</v>
      </c>
      <c r="L696" s="7" t="s">
        <v>1447</v>
      </c>
      <c r="M696" s="6" t="n">
        <v>20</v>
      </c>
      <c r="N696" s="7" t="s">
        <v>40</v>
      </c>
    </row>
    <row r="697" customFormat="false" ht="15" hidden="false" customHeight="false" outlineLevel="0" collapsed="false">
      <c r="A697" s="6" t="n">
        <v>696</v>
      </c>
      <c r="B697" s="7" t="s">
        <v>1276</v>
      </c>
      <c r="C697" s="7" t="s">
        <v>1444</v>
      </c>
      <c r="D697" s="8" t="s">
        <v>1480</v>
      </c>
      <c r="E697" s="7" t="s">
        <v>1481</v>
      </c>
      <c r="F697" s="6" t="s">
        <v>37</v>
      </c>
      <c r="G697" s="7" t="s">
        <v>27</v>
      </c>
      <c r="H697" s="7" t="s">
        <v>38</v>
      </c>
      <c r="I697" s="7" t="s">
        <v>1096</v>
      </c>
      <c r="J697" s="6" t="s">
        <v>1281</v>
      </c>
      <c r="K697" s="6" t="n">
        <v>2</v>
      </c>
      <c r="L697" s="7" t="s">
        <v>1447</v>
      </c>
      <c r="M697" s="6" t="n">
        <v>21</v>
      </c>
      <c r="N697" s="7" t="s">
        <v>40</v>
      </c>
    </row>
    <row r="698" customFormat="false" ht="15" hidden="false" customHeight="false" outlineLevel="0" collapsed="false">
      <c r="A698" s="6" t="n">
        <v>697</v>
      </c>
      <c r="B698" s="7" t="s">
        <v>1276</v>
      </c>
      <c r="C698" s="7" t="s">
        <v>1444</v>
      </c>
      <c r="D698" s="8" t="s">
        <v>1482</v>
      </c>
      <c r="E698" s="7" t="s">
        <v>1483</v>
      </c>
      <c r="F698" s="6" t="s">
        <v>37</v>
      </c>
      <c r="G698" s="7" t="s">
        <v>27</v>
      </c>
      <c r="H698" s="7" t="s">
        <v>38</v>
      </c>
      <c r="I698" s="7" t="s">
        <v>1096</v>
      </c>
      <c r="J698" s="6" t="s">
        <v>1281</v>
      </c>
      <c r="K698" s="6" t="n">
        <v>2</v>
      </c>
      <c r="L698" s="7" t="s">
        <v>1447</v>
      </c>
      <c r="M698" s="6" t="n">
        <v>22</v>
      </c>
      <c r="N698" s="7" t="s">
        <v>40</v>
      </c>
    </row>
    <row r="699" customFormat="false" ht="15" hidden="false" customHeight="false" outlineLevel="0" collapsed="false">
      <c r="A699" s="6" t="n">
        <v>698</v>
      </c>
      <c r="B699" s="7" t="s">
        <v>1276</v>
      </c>
      <c r="C699" s="7" t="s">
        <v>1444</v>
      </c>
      <c r="D699" s="8" t="s">
        <v>1484</v>
      </c>
      <c r="E699" s="7" t="s">
        <v>1485</v>
      </c>
      <c r="F699" s="6" t="s">
        <v>37</v>
      </c>
      <c r="G699" s="7" t="s">
        <v>27</v>
      </c>
      <c r="H699" s="7" t="s">
        <v>38</v>
      </c>
      <c r="I699" s="7" t="s">
        <v>793</v>
      </c>
      <c r="J699" s="6" t="s">
        <v>1281</v>
      </c>
      <c r="K699" s="6" t="n">
        <v>2</v>
      </c>
      <c r="L699" s="7" t="s">
        <v>1447</v>
      </c>
      <c r="M699" s="6" t="n">
        <v>23</v>
      </c>
      <c r="N699" s="7" t="s">
        <v>40</v>
      </c>
    </row>
    <row r="700" customFormat="false" ht="15" hidden="false" customHeight="false" outlineLevel="0" collapsed="false">
      <c r="A700" s="6" t="n">
        <v>699</v>
      </c>
      <c r="B700" s="7" t="s">
        <v>1276</v>
      </c>
      <c r="C700" s="7" t="s">
        <v>1444</v>
      </c>
      <c r="D700" s="8" t="s">
        <v>1486</v>
      </c>
      <c r="E700" s="7" t="s">
        <v>1455</v>
      </c>
      <c r="F700" s="6" t="s">
        <v>82</v>
      </c>
      <c r="G700" s="7" t="s">
        <v>27</v>
      </c>
      <c r="H700" s="7" t="s">
        <v>38</v>
      </c>
      <c r="I700" s="7" t="s">
        <v>120</v>
      </c>
      <c r="J700" s="6" t="s">
        <v>1281</v>
      </c>
      <c r="K700" s="6" t="n">
        <v>2</v>
      </c>
      <c r="L700" s="7" t="s">
        <v>1447</v>
      </c>
      <c r="M700" s="6" t="n">
        <v>24</v>
      </c>
      <c r="N700" s="7" t="s">
        <v>40</v>
      </c>
    </row>
    <row r="701" customFormat="false" ht="15" hidden="false" customHeight="false" outlineLevel="0" collapsed="false">
      <c r="A701" s="6" t="n">
        <v>700</v>
      </c>
      <c r="B701" s="7" t="s">
        <v>1276</v>
      </c>
      <c r="C701" s="7" t="s">
        <v>1444</v>
      </c>
      <c r="D701" s="8" t="s">
        <v>1487</v>
      </c>
      <c r="E701" s="7" t="s">
        <v>1488</v>
      </c>
      <c r="F701" s="6" t="s">
        <v>37</v>
      </c>
      <c r="G701" s="7" t="s">
        <v>27</v>
      </c>
      <c r="H701" s="7" t="s">
        <v>38</v>
      </c>
      <c r="I701" s="7" t="s">
        <v>206</v>
      </c>
      <c r="J701" s="6" t="s">
        <v>1281</v>
      </c>
      <c r="K701" s="6" t="n">
        <v>2</v>
      </c>
      <c r="L701" s="7" t="s">
        <v>1447</v>
      </c>
      <c r="M701" s="6" t="n">
        <v>25</v>
      </c>
      <c r="N701" s="7" t="s">
        <v>40</v>
      </c>
    </row>
    <row r="702" customFormat="false" ht="15" hidden="false" customHeight="false" outlineLevel="0" collapsed="false">
      <c r="A702" s="6" t="n">
        <v>701</v>
      </c>
      <c r="B702" s="7" t="s">
        <v>1276</v>
      </c>
      <c r="C702" s="7" t="s">
        <v>1444</v>
      </c>
      <c r="D702" s="8" t="s">
        <v>1489</v>
      </c>
      <c r="E702" s="7" t="s">
        <v>1490</v>
      </c>
      <c r="F702" s="6" t="s">
        <v>37</v>
      </c>
      <c r="G702" s="7" t="s">
        <v>27</v>
      </c>
      <c r="H702" s="7" t="s">
        <v>38</v>
      </c>
      <c r="I702" s="7" t="s">
        <v>206</v>
      </c>
      <c r="J702" s="6" t="s">
        <v>1281</v>
      </c>
      <c r="K702" s="6" t="n">
        <v>2</v>
      </c>
      <c r="L702" s="7" t="s">
        <v>1447</v>
      </c>
      <c r="M702" s="6" t="n">
        <v>26</v>
      </c>
      <c r="N702" s="7" t="s">
        <v>40</v>
      </c>
    </row>
    <row r="703" customFormat="false" ht="15" hidden="false" customHeight="false" outlineLevel="0" collapsed="false">
      <c r="A703" s="6" t="n">
        <v>702</v>
      </c>
      <c r="B703" s="7" t="s">
        <v>1276</v>
      </c>
      <c r="C703" s="7" t="s">
        <v>1444</v>
      </c>
      <c r="D703" s="8" t="s">
        <v>1491</v>
      </c>
      <c r="E703" s="7" t="s">
        <v>1492</v>
      </c>
      <c r="F703" s="6" t="s">
        <v>476</v>
      </c>
      <c r="G703" s="7" t="s">
        <v>43</v>
      </c>
      <c r="H703" s="7" t="s">
        <v>38</v>
      </c>
      <c r="I703" s="7" t="s">
        <v>1027</v>
      </c>
      <c r="J703" s="6" t="s">
        <v>1281</v>
      </c>
      <c r="K703" s="6" t="n">
        <v>2</v>
      </c>
      <c r="L703" s="7" t="s">
        <v>1447</v>
      </c>
      <c r="M703" s="6" t="n">
        <v>27</v>
      </c>
      <c r="N703" s="7" t="s">
        <v>40</v>
      </c>
    </row>
    <row r="704" customFormat="false" ht="15" hidden="false" customHeight="false" outlineLevel="0" collapsed="false">
      <c r="A704" s="6" t="n">
        <v>703</v>
      </c>
      <c r="B704" s="7" t="s">
        <v>1276</v>
      </c>
      <c r="C704" s="7" t="s">
        <v>1444</v>
      </c>
      <c r="D704" s="8" t="s">
        <v>1493</v>
      </c>
      <c r="E704" s="7" t="s">
        <v>1494</v>
      </c>
      <c r="F704" s="6" t="s">
        <v>476</v>
      </c>
      <c r="G704" s="7" t="s">
        <v>43</v>
      </c>
      <c r="H704" s="7" t="s">
        <v>38</v>
      </c>
      <c r="I704" s="7" t="s">
        <v>1027</v>
      </c>
      <c r="J704" s="6" t="s">
        <v>1281</v>
      </c>
      <c r="K704" s="6" t="n">
        <v>2</v>
      </c>
      <c r="L704" s="7" t="s">
        <v>1447</v>
      </c>
      <c r="M704" s="6" t="n">
        <v>28</v>
      </c>
      <c r="N704" s="7" t="s">
        <v>40</v>
      </c>
    </row>
    <row r="705" customFormat="false" ht="15" hidden="false" customHeight="false" outlineLevel="0" collapsed="false">
      <c r="A705" s="6" t="n">
        <v>704</v>
      </c>
      <c r="B705" s="7" t="s">
        <v>1276</v>
      </c>
      <c r="C705" s="7" t="s">
        <v>1444</v>
      </c>
      <c r="D705" s="8" t="s">
        <v>1495</v>
      </c>
      <c r="E705" s="7" t="s">
        <v>1496</v>
      </c>
      <c r="F705" s="6" t="s">
        <v>476</v>
      </c>
      <c r="G705" s="7" t="s">
        <v>43</v>
      </c>
      <c r="H705" s="7" t="s">
        <v>38</v>
      </c>
      <c r="I705" s="7" t="s">
        <v>966</v>
      </c>
      <c r="J705" s="6" t="s">
        <v>1281</v>
      </c>
      <c r="K705" s="6" t="n">
        <v>2</v>
      </c>
      <c r="L705" s="7" t="s">
        <v>1447</v>
      </c>
      <c r="M705" s="6" t="n">
        <v>29</v>
      </c>
      <c r="N705" s="7" t="s">
        <v>40</v>
      </c>
    </row>
    <row r="706" customFormat="false" ht="29.85" hidden="false" customHeight="false" outlineLevel="0" collapsed="false">
      <c r="A706" s="6" t="n">
        <v>705</v>
      </c>
      <c r="B706" s="7" t="s">
        <v>1276</v>
      </c>
      <c r="C706" s="7" t="s">
        <v>1444</v>
      </c>
      <c r="D706" s="8" t="s">
        <v>1497</v>
      </c>
      <c r="E706" s="7" t="s">
        <v>1498</v>
      </c>
      <c r="F706" s="6" t="s">
        <v>476</v>
      </c>
      <c r="G706" s="7" t="s">
        <v>43</v>
      </c>
      <c r="H706" s="7" t="s">
        <v>38</v>
      </c>
      <c r="I706" s="7" t="s">
        <v>372</v>
      </c>
      <c r="J706" s="6" t="s">
        <v>1281</v>
      </c>
      <c r="K706" s="6" t="n">
        <v>2</v>
      </c>
      <c r="L706" s="7" t="s">
        <v>1447</v>
      </c>
      <c r="M706" s="6" t="n">
        <v>30</v>
      </c>
      <c r="N706" s="7" t="s">
        <v>40</v>
      </c>
    </row>
    <row r="707" customFormat="false" ht="29.85" hidden="false" customHeight="false" outlineLevel="0" collapsed="false">
      <c r="A707" s="6" t="n">
        <v>706</v>
      </c>
      <c r="B707" s="7" t="s">
        <v>1276</v>
      </c>
      <c r="C707" s="7" t="s">
        <v>1444</v>
      </c>
      <c r="D707" s="8" t="s">
        <v>1499</v>
      </c>
      <c r="E707" s="7" t="s">
        <v>1494</v>
      </c>
      <c r="F707" s="6" t="s">
        <v>476</v>
      </c>
      <c r="G707" s="7" t="s">
        <v>43</v>
      </c>
      <c r="H707" s="7" t="s">
        <v>38</v>
      </c>
      <c r="I707" s="7" t="s">
        <v>496</v>
      </c>
      <c r="J707" s="6" t="s">
        <v>1281</v>
      </c>
      <c r="K707" s="6" t="n">
        <v>2</v>
      </c>
      <c r="L707" s="7" t="s">
        <v>1447</v>
      </c>
      <c r="M707" s="6" t="n">
        <v>31</v>
      </c>
      <c r="N707" s="7" t="s">
        <v>40</v>
      </c>
    </row>
    <row r="708" customFormat="false" ht="29.85" hidden="false" customHeight="false" outlineLevel="0" collapsed="false">
      <c r="A708" s="6" t="n">
        <v>707</v>
      </c>
      <c r="B708" s="7" t="s">
        <v>1276</v>
      </c>
      <c r="C708" s="7" t="s">
        <v>1444</v>
      </c>
      <c r="D708" s="8" t="s">
        <v>1500</v>
      </c>
      <c r="E708" s="7" t="s">
        <v>1492</v>
      </c>
      <c r="F708" s="6" t="s">
        <v>476</v>
      </c>
      <c r="G708" s="7" t="s">
        <v>43</v>
      </c>
      <c r="H708" s="7" t="s">
        <v>38</v>
      </c>
      <c r="I708" s="7" t="s">
        <v>1043</v>
      </c>
      <c r="J708" s="6" t="s">
        <v>1281</v>
      </c>
      <c r="K708" s="6" t="n">
        <v>2</v>
      </c>
      <c r="L708" s="7" t="s">
        <v>1447</v>
      </c>
      <c r="M708" s="6" t="n">
        <v>32</v>
      </c>
      <c r="N708" s="7" t="s">
        <v>40</v>
      </c>
    </row>
    <row r="709" customFormat="false" ht="29.85" hidden="false" customHeight="false" outlineLevel="0" collapsed="false">
      <c r="A709" s="6" t="n">
        <v>708</v>
      </c>
      <c r="B709" s="7" t="s">
        <v>1276</v>
      </c>
      <c r="C709" s="7" t="s">
        <v>1444</v>
      </c>
      <c r="D709" s="8" t="s">
        <v>1501</v>
      </c>
      <c r="E709" s="7" t="s">
        <v>1193</v>
      </c>
      <c r="F709" s="6" t="s">
        <v>476</v>
      </c>
      <c r="G709" s="7" t="s">
        <v>43</v>
      </c>
      <c r="H709" s="7" t="s">
        <v>38</v>
      </c>
      <c r="I709" s="7" t="s">
        <v>1104</v>
      </c>
      <c r="J709" s="6" t="s">
        <v>1281</v>
      </c>
      <c r="K709" s="6" t="n">
        <v>2</v>
      </c>
      <c r="L709" s="7" t="s">
        <v>1447</v>
      </c>
      <c r="M709" s="6" t="n">
        <v>33</v>
      </c>
      <c r="N709" s="7" t="s">
        <v>40</v>
      </c>
    </row>
    <row r="710" customFormat="false" ht="29.85" hidden="false" customHeight="false" outlineLevel="0" collapsed="false">
      <c r="A710" s="6" t="n">
        <v>709</v>
      </c>
      <c r="B710" s="7" t="s">
        <v>1276</v>
      </c>
      <c r="C710" s="7" t="s">
        <v>1444</v>
      </c>
      <c r="D710" s="8" t="s">
        <v>1502</v>
      </c>
      <c r="E710" s="7" t="s">
        <v>1042</v>
      </c>
      <c r="F710" s="6" t="s">
        <v>476</v>
      </c>
      <c r="G710" s="7" t="s">
        <v>43</v>
      </c>
      <c r="H710" s="7" t="s">
        <v>38</v>
      </c>
      <c r="I710" s="7" t="s">
        <v>679</v>
      </c>
      <c r="J710" s="6" t="s">
        <v>1281</v>
      </c>
      <c r="K710" s="6" t="n">
        <v>2</v>
      </c>
      <c r="L710" s="7" t="s">
        <v>1447</v>
      </c>
      <c r="M710" s="6" t="n">
        <v>34</v>
      </c>
      <c r="N710" s="7" t="s">
        <v>40</v>
      </c>
    </row>
    <row r="711" customFormat="false" ht="29.85" hidden="false" customHeight="false" outlineLevel="0" collapsed="false">
      <c r="A711" s="6" t="n">
        <v>710</v>
      </c>
      <c r="B711" s="7" t="s">
        <v>1276</v>
      </c>
      <c r="C711" s="7" t="s">
        <v>1444</v>
      </c>
      <c r="D711" s="8" t="s">
        <v>1503</v>
      </c>
      <c r="E711" s="7" t="s">
        <v>1498</v>
      </c>
      <c r="F711" s="6" t="s">
        <v>476</v>
      </c>
      <c r="G711" s="7" t="s">
        <v>43</v>
      </c>
      <c r="H711" s="7" t="s">
        <v>38</v>
      </c>
      <c r="I711" s="7" t="s">
        <v>292</v>
      </c>
      <c r="J711" s="6" t="s">
        <v>1281</v>
      </c>
      <c r="K711" s="6" t="n">
        <v>2</v>
      </c>
      <c r="L711" s="7" t="s">
        <v>1447</v>
      </c>
      <c r="M711" s="6" t="n">
        <v>35</v>
      </c>
      <c r="N711" s="7" t="s">
        <v>40</v>
      </c>
    </row>
    <row r="712" customFormat="false" ht="29.85" hidden="false" customHeight="false" outlineLevel="0" collapsed="false">
      <c r="A712" s="6" t="n">
        <v>711</v>
      </c>
      <c r="B712" s="7" t="s">
        <v>1276</v>
      </c>
      <c r="C712" s="7" t="s">
        <v>1444</v>
      </c>
      <c r="D712" s="8" t="s">
        <v>1504</v>
      </c>
      <c r="E712" s="7" t="s">
        <v>1496</v>
      </c>
      <c r="F712" s="6" t="s">
        <v>476</v>
      </c>
      <c r="G712" s="7" t="s">
        <v>43</v>
      </c>
      <c r="H712" s="7" t="s">
        <v>38</v>
      </c>
      <c r="I712" s="7" t="s">
        <v>375</v>
      </c>
      <c r="J712" s="6" t="s">
        <v>1281</v>
      </c>
      <c r="K712" s="6" t="n">
        <v>2</v>
      </c>
      <c r="L712" s="7" t="s">
        <v>1447</v>
      </c>
      <c r="M712" s="6" t="n">
        <v>36</v>
      </c>
      <c r="N712" s="7" t="s">
        <v>40</v>
      </c>
    </row>
    <row r="713" customFormat="false" ht="29.85" hidden="false" customHeight="false" outlineLevel="0" collapsed="false">
      <c r="A713" s="6" t="n">
        <v>712</v>
      </c>
      <c r="B713" s="7" t="s">
        <v>1276</v>
      </c>
      <c r="C713" s="7" t="s">
        <v>1444</v>
      </c>
      <c r="D713" s="8" t="s">
        <v>1505</v>
      </c>
      <c r="E713" s="7" t="s">
        <v>1506</v>
      </c>
      <c r="F713" s="6" t="s">
        <v>82</v>
      </c>
      <c r="G713" s="7" t="s">
        <v>27</v>
      </c>
      <c r="H713" s="7" t="s">
        <v>38</v>
      </c>
      <c r="I713" s="7" t="s">
        <v>883</v>
      </c>
      <c r="J713" s="6" t="s">
        <v>1281</v>
      </c>
      <c r="K713" s="6" t="n">
        <v>2</v>
      </c>
      <c r="L713" s="7" t="s">
        <v>1447</v>
      </c>
      <c r="M713" s="6" t="n">
        <v>37</v>
      </c>
      <c r="N713" s="7" t="s">
        <v>40</v>
      </c>
    </row>
    <row r="714" customFormat="false" ht="29.85" hidden="false" customHeight="false" outlineLevel="0" collapsed="false">
      <c r="A714" s="6" t="n">
        <v>713</v>
      </c>
      <c r="B714" s="7" t="s">
        <v>1276</v>
      </c>
      <c r="C714" s="7" t="s">
        <v>1444</v>
      </c>
      <c r="D714" s="8" t="s">
        <v>1507</v>
      </c>
      <c r="E714" s="7" t="s">
        <v>1481</v>
      </c>
      <c r="F714" s="6" t="s">
        <v>37</v>
      </c>
      <c r="G714" s="7" t="s">
        <v>27</v>
      </c>
      <c r="H714" s="7" t="s">
        <v>38</v>
      </c>
      <c r="I714" s="7" t="s">
        <v>1508</v>
      </c>
      <c r="J714" s="6" t="s">
        <v>1281</v>
      </c>
      <c r="K714" s="6" t="n">
        <v>2</v>
      </c>
      <c r="L714" s="7" t="s">
        <v>1447</v>
      </c>
      <c r="M714" s="6" t="n">
        <v>38</v>
      </c>
      <c r="N714" s="7" t="s">
        <v>40</v>
      </c>
    </row>
    <row r="715" customFormat="false" ht="29.85" hidden="false" customHeight="false" outlineLevel="0" collapsed="false">
      <c r="A715" s="6" t="n">
        <v>714</v>
      </c>
      <c r="B715" s="7" t="s">
        <v>1276</v>
      </c>
      <c r="C715" s="7" t="s">
        <v>1444</v>
      </c>
      <c r="D715" s="8" t="s">
        <v>1509</v>
      </c>
      <c r="E715" s="7" t="s">
        <v>1510</v>
      </c>
      <c r="F715" s="6" t="s">
        <v>476</v>
      </c>
      <c r="G715" s="7" t="s">
        <v>43</v>
      </c>
      <c r="H715" s="7" t="s">
        <v>38</v>
      </c>
      <c r="I715" s="7" t="s">
        <v>1508</v>
      </c>
      <c r="J715" s="6" t="s">
        <v>1281</v>
      </c>
      <c r="K715" s="6" t="n">
        <v>2</v>
      </c>
      <c r="L715" s="7" t="s">
        <v>1447</v>
      </c>
      <c r="M715" s="6" t="n">
        <v>39</v>
      </c>
      <c r="N715" s="7" t="s">
        <v>40</v>
      </c>
    </row>
    <row r="716" customFormat="false" ht="29.85" hidden="false" customHeight="false" outlineLevel="0" collapsed="false">
      <c r="A716" s="6" t="n">
        <v>715</v>
      </c>
      <c r="B716" s="7" t="s">
        <v>1276</v>
      </c>
      <c r="C716" s="7" t="s">
        <v>1444</v>
      </c>
      <c r="D716" s="8" t="s">
        <v>1511</v>
      </c>
      <c r="E716" s="7" t="s">
        <v>1496</v>
      </c>
      <c r="F716" s="6" t="s">
        <v>476</v>
      </c>
      <c r="G716" s="7" t="s">
        <v>43</v>
      </c>
      <c r="H716" s="7" t="s">
        <v>38</v>
      </c>
      <c r="I716" s="7" t="s">
        <v>635</v>
      </c>
      <c r="J716" s="6" t="s">
        <v>1281</v>
      </c>
      <c r="K716" s="6" t="n">
        <v>2</v>
      </c>
      <c r="L716" s="7" t="s">
        <v>1447</v>
      </c>
      <c r="M716" s="6" t="n">
        <v>40</v>
      </c>
      <c r="N716" s="7" t="s">
        <v>40</v>
      </c>
    </row>
    <row r="717" customFormat="false" ht="29.85" hidden="false" customHeight="false" outlineLevel="0" collapsed="false">
      <c r="A717" s="6" t="n">
        <v>716</v>
      </c>
      <c r="B717" s="7" t="s">
        <v>1276</v>
      </c>
      <c r="C717" s="7" t="s">
        <v>1444</v>
      </c>
      <c r="D717" s="8" t="s">
        <v>1512</v>
      </c>
      <c r="E717" s="7" t="s">
        <v>1496</v>
      </c>
      <c r="F717" s="6" t="s">
        <v>476</v>
      </c>
      <c r="G717" s="7" t="s">
        <v>43</v>
      </c>
      <c r="H717" s="7" t="s">
        <v>38</v>
      </c>
      <c r="I717" s="7" t="s">
        <v>505</v>
      </c>
      <c r="J717" s="6" t="s">
        <v>1281</v>
      </c>
      <c r="K717" s="6" t="n">
        <v>2</v>
      </c>
      <c r="L717" s="7" t="s">
        <v>1447</v>
      </c>
      <c r="M717" s="6" t="n">
        <v>41</v>
      </c>
      <c r="N717" s="7" t="s">
        <v>40</v>
      </c>
    </row>
    <row r="718" customFormat="false" ht="29.85" hidden="false" customHeight="false" outlineLevel="0" collapsed="false">
      <c r="A718" s="6" t="n">
        <v>717</v>
      </c>
      <c r="B718" s="7" t="s">
        <v>1276</v>
      </c>
      <c r="C718" s="7" t="s">
        <v>1444</v>
      </c>
      <c r="D718" s="8" t="s">
        <v>1513</v>
      </c>
      <c r="E718" s="7" t="s">
        <v>1462</v>
      </c>
      <c r="F718" s="6" t="s">
        <v>476</v>
      </c>
      <c r="G718" s="7" t="s">
        <v>43</v>
      </c>
      <c r="H718" s="7" t="s">
        <v>38</v>
      </c>
      <c r="I718" s="7" t="s">
        <v>53</v>
      </c>
      <c r="J718" s="6" t="s">
        <v>1281</v>
      </c>
      <c r="K718" s="6" t="n">
        <v>2</v>
      </c>
      <c r="L718" s="7" t="s">
        <v>1447</v>
      </c>
      <c r="M718" s="6" t="n">
        <v>42</v>
      </c>
      <c r="N718" s="7" t="s">
        <v>40</v>
      </c>
    </row>
    <row r="719" customFormat="false" ht="29.85" hidden="false" customHeight="false" outlineLevel="0" collapsed="false">
      <c r="A719" s="6" t="n">
        <v>718</v>
      </c>
      <c r="B719" s="7" t="s">
        <v>1276</v>
      </c>
      <c r="C719" s="7" t="s">
        <v>1444</v>
      </c>
      <c r="D719" s="8" t="s">
        <v>1514</v>
      </c>
      <c r="E719" s="7" t="s">
        <v>1515</v>
      </c>
      <c r="F719" s="6" t="s">
        <v>476</v>
      </c>
      <c r="G719" s="7" t="s">
        <v>43</v>
      </c>
      <c r="H719" s="7" t="s">
        <v>38</v>
      </c>
      <c r="I719" s="7" t="s">
        <v>681</v>
      </c>
      <c r="J719" s="6" t="s">
        <v>1281</v>
      </c>
      <c r="K719" s="6" t="n">
        <v>2</v>
      </c>
      <c r="L719" s="7" t="s">
        <v>1447</v>
      </c>
      <c r="M719" s="6" t="n">
        <v>43</v>
      </c>
      <c r="N719" s="7" t="s">
        <v>40</v>
      </c>
    </row>
    <row r="720" customFormat="false" ht="29.85" hidden="false" customHeight="false" outlineLevel="0" collapsed="false">
      <c r="A720" s="6" t="n">
        <v>719</v>
      </c>
      <c r="B720" s="7" t="s">
        <v>1276</v>
      </c>
      <c r="C720" s="7" t="s">
        <v>1444</v>
      </c>
      <c r="D720" s="8" t="s">
        <v>1516</v>
      </c>
      <c r="E720" s="7" t="s">
        <v>1517</v>
      </c>
      <c r="F720" s="6" t="s">
        <v>476</v>
      </c>
      <c r="G720" s="7" t="s">
        <v>43</v>
      </c>
      <c r="H720" s="7" t="s">
        <v>38</v>
      </c>
      <c r="I720" s="7" t="s">
        <v>315</v>
      </c>
      <c r="J720" s="6" t="s">
        <v>1281</v>
      </c>
      <c r="K720" s="6" t="n">
        <v>2</v>
      </c>
      <c r="L720" s="7" t="s">
        <v>1447</v>
      </c>
      <c r="M720" s="6" t="n">
        <v>44</v>
      </c>
      <c r="N720" s="7" t="s">
        <v>40</v>
      </c>
    </row>
    <row r="721" customFormat="false" ht="29.85" hidden="false" customHeight="false" outlineLevel="0" collapsed="false">
      <c r="A721" s="6" t="n">
        <v>720</v>
      </c>
      <c r="B721" s="7" t="s">
        <v>1276</v>
      </c>
      <c r="C721" s="7" t="s">
        <v>1444</v>
      </c>
      <c r="D721" s="8" t="s">
        <v>1518</v>
      </c>
      <c r="E721" s="7" t="s">
        <v>1519</v>
      </c>
      <c r="F721" s="6" t="s">
        <v>476</v>
      </c>
      <c r="G721" s="7" t="s">
        <v>43</v>
      </c>
      <c r="H721" s="7" t="s">
        <v>38</v>
      </c>
      <c r="I721" s="7" t="s">
        <v>640</v>
      </c>
      <c r="J721" s="6" t="s">
        <v>1281</v>
      </c>
      <c r="K721" s="6" t="n">
        <v>2</v>
      </c>
      <c r="L721" s="7" t="s">
        <v>1447</v>
      </c>
      <c r="M721" s="6" t="n">
        <v>45</v>
      </c>
      <c r="N721" s="7" t="s">
        <v>40</v>
      </c>
    </row>
    <row r="722" customFormat="false" ht="44" hidden="false" customHeight="false" outlineLevel="0" collapsed="false">
      <c r="A722" s="6" t="n">
        <v>721</v>
      </c>
      <c r="B722" s="7" t="s">
        <v>1276</v>
      </c>
      <c r="C722" s="7" t="s">
        <v>1444</v>
      </c>
      <c r="D722" s="8" t="s">
        <v>1520</v>
      </c>
      <c r="E722" s="7" t="s">
        <v>1233</v>
      </c>
      <c r="F722" s="6" t="s">
        <v>476</v>
      </c>
      <c r="G722" s="7" t="s">
        <v>43</v>
      </c>
      <c r="H722" s="7" t="s">
        <v>38</v>
      </c>
      <c r="I722" s="7" t="s">
        <v>1521</v>
      </c>
      <c r="J722" s="6" t="s">
        <v>1281</v>
      </c>
      <c r="K722" s="6" t="n">
        <v>2</v>
      </c>
      <c r="L722" s="7" t="s">
        <v>1447</v>
      </c>
      <c r="M722" s="6" t="n">
        <v>46</v>
      </c>
      <c r="N722" s="7" t="s">
        <v>40</v>
      </c>
    </row>
    <row r="723" customFormat="false" ht="44" hidden="false" customHeight="false" outlineLevel="0" collapsed="false">
      <c r="A723" s="6" t="n">
        <v>722</v>
      </c>
      <c r="B723" s="7" t="s">
        <v>1276</v>
      </c>
      <c r="C723" s="7" t="s">
        <v>1444</v>
      </c>
      <c r="D723" s="8" t="s">
        <v>1522</v>
      </c>
      <c r="E723" s="7" t="s">
        <v>700</v>
      </c>
      <c r="F723" s="6" t="s">
        <v>476</v>
      </c>
      <c r="G723" s="7" t="s">
        <v>43</v>
      </c>
      <c r="H723" s="7" t="s">
        <v>38</v>
      </c>
      <c r="I723" s="7" t="s">
        <v>1523</v>
      </c>
      <c r="J723" s="6" t="s">
        <v>1281</v>
      </c>
      <c r="K723" s="6" t="n">
        <v>2</v>
      </c>
      <c r="L723" s="7" t="s">
        <v>1447</v>
      </c>
      <c r="M723" s="6" t="n">
        <v>47</v>
      </c>
      <c r="N723" s="7" t="s">
        <v>40</v>
      </c>
    </row>
    <row r="724" customFormat="false" ht="44" hidden="false" customHeight="false" outlineLevel="0" collapsed="false">
      <c r="A724" s="6" t="n">
        <v>723</v>
      </c>
      <c r="B724" s="7" t="s">
        <v>1276</v>
      </c>
      <c r="C724" s="7" t="s">
        <v>1444</v>
      </c>
      <c r="D724" s="8" t="s">
        <v>1524</v>
      </c>
      <c r="E724" s="7" t="s">
        <v>1449</v>
      </c>
      <c r="F724" s="6" t="s">
        <v>476</v>
      </c>
      <c r="G724" s="7" t="s">
        <v>43</v>
      </c>
      <c r="H724" s="7" t="s">
        <v>38</v>
      </c>
      <c r="I724" s="7" t="s">
        <v>1240</v>
      </c>
      <c r="J724" s="6" t="s">
        <v>1281</v>
      </c>
      <c r="K724" s="6" t="n">
        <v>2</v>
      </c>
      <c r="L724" s="7" t="s">
        <v>1447</v>
      </c>
      <c r="M724" s="6" t="n">
        <v>48</v>
      </c>
      <c r="N724" s="7" t="s">
        <v>40</v>
      </c>
    </row>
    <row r="725" customFormat="false" ht="44" hidden="false" customHeight="false" outlineLevel="0" collapsed="false">
      <c r="A725" s="6" t="n">
        <v>724</v>
      </c>
      <c r="B725" s="7" t="s">
        <v>1276</v>
      </c>
      <c r="C725" s="7" t="s">
        <v>1444</v>
      </c>
      <c r="D725" s="8" t="s">
        <v>1525</v>
      </c>
      <c r="E725" s="7" t="s">
        <v>1453</v>
      </c>
      <c r="F725" s="6" t="s">
        <v>476</v>
      </c>
      <c r="G725" s="7" t="s">
        <v>43</v>
      </c>
      <c r="H725" s="7" t="s">
        <v>38</v>
      </c>
      <c r="I725" s="7" t="s">
        <v>1526</v>
      </c>
      <c r="J725" s="6" t="s">
        <v>1281</v>
      </c>
      <c r="K725" s="6" t="n">
        <v>2</v>
      </c>
      <c r="L725" s="7" t="s">
        <v>1447</v>
      </c>
      <c r="M725" s="6" t="n">
        <v>49</v>
      </c>
      <c r="N725" s="7" t="s">
        <v>40</v>
      </c>
    </row>
    <row r="726" customFormat="false" ht="44" hidden="false" customHeight="false" outlineLevel="0" collapsed="false">
      <c r="A726" s="6" t="n">
        <v>725</v>
      </c>
      <c r="B726" s="7" t="s">
        <v>1276</v>
      </c>
      <c r="C726" s="7" t="s">
        <v>1444</v>
      </c>
      <c r="D726" s="8" t="s">
        <v>1527</v>
      </c>
      <c r="E726" s="7" t="s">
        <v>1515</v>
      </c>
      <c r="F726" s="6" t="s">
        <v>476</v>
      </c>
      <c r="G726" s="7" t="s">
        <v>43</v>
      </c>
      <c r="H726" s="7" t="s">
        <v>38</v>
      </c>
      <c r="I726" s="7" t="s">
        <v>1528</v>
      </c>
      <c r="J726" s="6" t="s">
        <v>1281</v>
      </c>
      <c r="K726" s="6" t="n">
        <v>2</v>
      </c>
      <c r="L726" s="7" t="s">
        <v>1447</v>
      </c>
      <c r="M726" s="6" t="n">
        <v>50</v>
      </c>
      <c r="N726" s="7" t="s">
        <v>40</v>
      </c>
    </row>
    <row r="727" customFormat="false" ht="15" hidden="false" customHeight="false" outlineLevel="0" collapsed="false">
      <c r="A727" s="6" t="n">
        <v>726</v>
      </c>
      <c r="B727" s="7" t="s">
        <v>1276</v>
      </c>
      <c r="C727" s="7" t="s">
        <v>1529</v>
      </c>
      <c r="D727" s="8" t="s">
        <v>1530</v>
      </c>
      <c r="E727" s="6" t="s">
        <v>1290</v>
      </c>
      <c r="F727" s="6" t="s">
        <v>476</v>
      </c>
      <c r="G727" s="7" t="s">
        <v>43</v>
      </c>
      <c r="H727" s="7" t="s">
        <v>20</v>
      </c>
      <c r="I727" s="7" t="s">
        <v>1288</v>
      </c>
      <c r="J727" s="6" t="s">
        <v>1281</v>
      </c>
      <c r="K727" s="6" t="n">
        <v>3</v>
      </c>
      <c r="L727" s="7" t="s">
        <v>1531</v>
      </c>
      <c r="M727" s="6" t="n">
        <v>1</v>
      </c>
      <c r="N727" s="7" t="s">
        <v>24</v>
      </c>
    </row>
    <row r="728" customFormat="false" ht="15" hidden="false" customHeight="false" outlineLevel="0" collapsed="false">
      <c r="A728" s="6" t="n">
        <v>727</v>
      </c>
      <c r="B728" s="7" t="s">
        <v>1276</v>
      </c>
      <c r="C728" s="7" t="s">
        <v>1529</v>
      </c>
      <c r="D728" s="8" t="s">
        <v>1532</v>
      </c>
      <c r="E728" s="7" t="s">
        <v>1533</v>
      </c>
      <c r="F728" s="6" t="s">
        <v>476</v>
      </c>
      <c r="G728" s="7" t="s">
        <v>43</v>
      </c>
      <c r="H728" s="7" t="s">
        <v>20</v>
      </c>
      <c r="I728" s="7" t="s">
        <v>757</v>
      </c>
      <c r="J728" s="6" t="s">
        <v>1281</v>
      </c>
      <c r="K728" s="6" t="n">
        <v>3</v>
      </c>
      <c r="L728" s="7" t="s">
        <v>1531</v>
      </c>
      <c r="M728" s="6" t="n">
        <v>2</v>
      </c>
      <c r="N728" s="7" t="s">
        <v>24</v>
      </c>
    </row>
    <row r="729" customFormat="false" ht="15" hidden="false" customHeight="false" outlineLevel="0" collapsed="false">
      <c r="A729" s="6" t="n">
        <v>728</v>
      </c>
      <c r="B729" s="7" t="s">
        <v>1276</v>
      </c>
      <c r="C729" s="7" t="s">
        <v>1529</v>
      </c>
      <c r="D729" s="8" t="s">
        <v>1534</v>
      </c>
      <c r="E729" s="7" t="s">
        <v>1529</v>
      </c>
      <c r="F729" s="6" t="s">
        <v>476</v>
      </c>
      <c r="G729" s="7" t="s">
        <v>43</v>
      </c>
      <c r="H729" s="7" t="s">
        <v>20</v>
      </c>
      <c r="I729" s="7" t="s">
        <v>65</v>
      </c>
      <c r="J729" s="6" t="s">
        <v>1281</v>
      </c>
      <c r="K729" s="6" t="n">
        <v>3</v>
      </c>
      <c r="L729" s="7" t="s">
        <v>1531</v>
      </c>
      <c r="M729" s="6" t="n">
        <v>3</v>
      </c>
      <c r="N729" s="7" t="s">
        <v>24</v>
      </c>
    </row>
    <row r="730" customFormat="false" ht="15" hidden="false" customHeight="false" outlineLevel="0" collapsed="false">
      <c r="A730" s="6" t="n">
        <v>729</v>
      </c>
      <c r="B730" s="7" t="s">
        <v>1276</v>
      </c>
      <c r="C730" s="7" t="s">
        <v>1529</v>
      </c>
      <c r="D730" s="8" t="s">
        <v>1535</v>
      </c>
      <c r="E730" s="7" t="s">
        <v>716</v>
      </c>
      <c r="F730" s="6" t="s">
        <v>476</v>
      </c>
      <c r="G730" s="7" t="s">
        <v>43</v>
      </c>
      <c r="H730" s="7" t="s">
        <v>20</v>
      </c>
      <c r="I730" s="7" t="s">
        <v>176</v>
      </c>
      <c r="J730" s="6" t="s">
        <v>1281</v>
      </c>
      <c r="K730" s="6" t="n">
        <v>3</v>
      </c>
      <c r="L730" s="7" t="s">
        <v>1531</v>
      </c>
      <c r="M730" s="6" t="n">
        <v>4</v>
      </c>
      <c r="N730" s="7" t="s">
        <v>24</v>
      </c>
    </row>
    <row r="731" customFormat="false" ht="15" hidden="false" customHeight="false" outlineLevel="0" collapsed="false">
      <c r="A731" s="6" t="n">
        <v>730</v>
      </c>
      <c r="B731" s="7" t="s">
        <v>1276</v>
      </c>
      <c r="C731" s="7" t="s">
        <v>1529</v>
      </c>
      <c r="D731" s="8" t="s">
        <v>1536</v>
      </c>
      <c r="E731" s="8" t="s">
        <v>1537</v>
      </c>
      <c r="F731" s="6" t="s">
        <v>37</v>
      </c>
      <c r="G731" s="7" t="s">
        <v>27</v>
      </c>
      <c r="H731" s="7" t="s">
        <v>38</v>
      </c>
      <c r="I731" s="7" t="s">
        <v>1294</v>
      </c>
      <c r="J731" s="6" t="s">
        <v>1281</v>
      </c>
      <c r="K731" s="6" t="n">
        <v>3</v>
      </c>
      <c r="L731" s="7" t="s">
        <v>1531</v>
      </c>
      <c r="M731" s="6" t="n">
        <v>5</v>
      </c>
      <c r="N731" s="7" t="s">
        <v>40</v>
      </c>
    </row>
    <row r="732" customFormat="false" ht="15" hidden="false" customHeight="false" outlineLevel="0" collapsed="false">
      <c r="A732" s="6" t="n">
        <v>731</v>
      </c>
      <c r="B732" s="7" t="s">
        <v>1276</v>
      </c>
      <c r="C732" s="7" t="s">
        <v>1529</v>
      </c>
      <c r="D732" s="8" t="s">
        <v>1538</v>
      </c>
      <c r="E732" s="7" t="s">
        <v>1539</v>
      </c>
      <c r="F732" s="6" t="s">
        <v>476</v>
      </c>
      <c r="G732" s="7" t="s">
        <v>43</v>
      </c>
      <c r="H732" s="7" t="s">
        <v>20</v>
      </c>
      <c r="I732" s="7" t="s">
        <v>183</v>
      </c>
      <c r="J732" s="6" t="s">
        <v>1281</v>
      </c>
      <c r="K732" s="6" t="n">
        <v>3</v>
      </c>
      <c r="L732" s="7" t="s">
        <v>1531</v>
      </c>
      <c r="M732" s="6" t="n">
        <v>6</v>
      </c>
      <c r="N732" s="7" t="s">
        <v>24</v>
      </c>
    </row>
    <row r="733" customFormat="false" ht="29.85" hidden="false" customHeight="false" outlineLevel="0" collapsed="false">
      <c r="A733" s="6" t="n">
        <v>732</v>
      </c>
      <c r="B733" s="7" t="s">
        <v>1276</v>
      </c>
      <c r="C733" s="7" t="s">
        <v>1529</v>
      </c>
      <c r="D733" s="8" t="s">
        <v>1540</v>
      </c>
      <c r="E733" s="7" t="s">
        <v>1539</v>
      </c>
      <c r="F733" s="6" t="s">
        <v>476</v>
      </c>
      <c r="G733" s="7" t="s">
        <v>43</v>
      </c>
      <c r="H733" s="7" t="s">
        <v>20</v>
      </c>
      <c r="I733" s="7" t="s">
        <v>243</v>
      </c>
      <c r="J733" s="6" t="s">
        <v>1281</v>
      </c>
      <c r="K733" s="6" t="n">
        <v>3</v>
      </c>
      <c r="L733" s="7" t="s">
        <v>1531</v>
      </c>
      <c r="M733" s="6" t="n">
        <v>7</v>
      </c>
      <c r="N733" s="7" t="s">
        <v>24</v>
      </c>
    </row>
    <row r="734" customFormat="false" ht="29.85" hidden="false" customHeight="false" outlineLevel="0" collapsed="false">
      <c r="A734" s="6" t="n">
        <v>733</v>
      </c>
      <c r="B734" s="7" t="s">
        <v>1276</v>
      </c>
      <c r="C734" s="7" t="s">
        <v>1529</v>
      </c>
      <c r="D734" s="8" t="s">
        <v>1541</v>
      </c>
      <c r="E734" s="7" t="s">
        <v>1542</v>
      </c>
      <c r="F734" s="6" t="s">
        <v>476</v>
      </c>
      <c r="G734" s="7" t="s">
        <v>43</v>
      </c>
      <c r="H734" s="7" t="s">
        <v>20</v>
      </c>
      <c r="I734" s="7" t="s">
        <v>91</v>
      </c>
      <c r="J734" s="6" t="s">
        <v>1281</v>
      </c>
      <c r="K734" s="6" t="n">
        <v>3</v>
      </c>
      <c r="L734" s="7" t="s">
        <v>1531</v>
      </c>
      <c r="M734" s="6" t="n">
        <v>8</v>
      </c>
      <c r="N734" s="7" t="s">
        <v>24</v>
      </c>
    </row>
    <row r="735" customFormat="false" ht="29.85" hidden="false" customHeight="false" outlineLevel="0" collapsed="false">
      <c r="A735" s="6" t="n">
        <v>734</v>
      </c>
      <c r="B735" s="7" t="s">
        <v>1276</v>
      </c>
      <c r="C735" s="7" t="s">
        <v>1529</v>
      </c>
      <c r="D735" s="8" t="s">
        <v>1543</v>
      </c>
      <c r="E735" s="7" t="s">
        <v>1544</v>
      </c>
      <c r="F735" s="6" t="s">
        <v>476</v>
      </c>
      <c r="G735" s="7" t="s">
        <v>43</v>
      </c>
      <c r="H735" s="7" t="s">
        <v>20</v>
      </c>
      <c r="I735" s="7" t="s">
        <v>91</v>
      </c>
      <c r="J735" s="6" t="s">
        <v>1281</v>
      </c>
      <c r="K735" s="6" t="n">
        <v>3</v>
      </c>
      <c r="L735" s="7" t="s">
        <v>1531</v>
      </c>
      <c r="M735" s="6" t="n">
        <v>9</v>
      </c>
      <c r="N735" s="7" t="s">
        <v>24</v>
      </c>
    </row>
    <row r="736" customFormat="false" ht="15" hidden="false" customHeight="false" outlineLevel="0" collapsed="false">
      <c r="A736" s="6" t="n">
        <v>735</v>
      </c>
      <c r="B736" s="7" t="s">
        <v>1276</v>
      </c>
      <c r="C736" s="7" t="s">
        <v>1529</v>
      </c>
      <c r="D736" s="8" t="s">
        <v>1545</v>
      </c>
      <c r="E736" s="8" t="s">
        <v>1546</v>
      </c>
      <c r="F736" s="6" t="s">
        <v>37</v>
      </c>
      <c r="G736" s="7" t="s">
        <v>27</v>
      </c>
      <c r="H736" s="7" t="s">
        <v>38</v>
      </c>
      <c r="I736" s="7" t="s">
        <v>72</v>
      </c>
      <c r="J736" s="6" t="s">
        <v>1281</v>
      </c>
      <c r="K736" s="6" t="n">
        <v>3</v>
      </c>
      <c r="L736" s="7" t="s">
        <v>1531</v>
      </c>
      <c r="M736" s="6" t="n">
        <v>10</v>
      </c>
      <c r="N736" s="7" t="s">
        <v>40</v>
      </c>
    </row>
    <row r="737" customFormat="false" ht="29.85" hidden="false" customHeight="false" outlineLevel="0" collapsed="false">
      <c r="A737" s="6" t="n">
        <v>736</v>
      </c>
      <c r="B737" s="7" t="s">
        <v>1276</v>
      </c>
      <c r="C737" s="7" t="s">
        <v>1529</v>
      </c>
      <c r="D737" s="8" t="s">
        <v>1547</v>
      </c>
      <c r="E737" s="7" t="s">
        <v>1544</v>
      </c>
      <c r="F737" s="6" t="s">
        <v>476</v>
      </c>
      <c r="G737" s="7" t="s">
        <v>43</v>
      </c>
      <c r="H737" s="7" t="s">
        <v>20</v>
      </c>
      <c r="I737" s="7" t="s">
        <v>105</v>
      </c>
      <c r="J737" s="6" t="s">
        <v>1281</v>
      </c>
      <c r="K737" s="6" t="n">
        <v>3</v>
      </c>
      <c r="L737" s="7" t="s">
        <v>1531</v>
      </c>
      <c r="M737" s="6" t="n">
        <v>11</v>
      </c>
      <c r="N737" s="7" t="s">
        <v>24</v>
      </c>
    </row>
    <row r="738" customFormat="false" ht="29.85" hidden="false" customHeight="false" outlineLevel="0" collapsed="false">
      <c r="A738" s="6" t="n">
        <v>737</v>
      </c>
      <c r="B738" s="7" t="s">
        <v>1276</v>
      </c>
      <c r="C738" s="7" t="s">
        <v>1529</v>
      </c>
      <c r="D738" s="8" t="s">
        <v>1548</v>
      </c>
      <c r="E738" s="7" t="s">
        <v>1549</v>
      </c>
      <c r="F738" s="6" t="s">
        <v>476</v>
      </c>
      <c r="G738" s="7" t="s">
        <v>43</v>
      </c>
      <c r="H738" s="7" t="s">
        <v>20</v>
      </c>
      <c r="I738" s="7" t="s">
        <v>150</v>
      </c>
      <c r="J738" s="6" t="s">
        <v>1281</v>
      </c>
      <c r="K738" s="6" t="n">
        <v>3</v>
      </c>
      <c r="L738" s="7" t="s">
        <v>1531</v>
      </c>
      <c r="M738" s="6" t="n">
        <v>12</v>
      </c>
      <c r="N738" s="7" t="s">
        <v>24</v>
      </c>
    </row>
    <row r="739" customFormat="false" ht="15" hidden="false" customHeight="false" outlineLevel="0" collapsed="false">
      <c r="A739" s="6" t="n">
        <v>738</v>
      </c>
      <c r="B739" s="7" t="s">
        <v>1276</v>
      </c>
      <c r="C739" s="7" t="s">
        <v>1529</v>
      </c>
      <c r="D739" s="8" t="s">
        <v>1550</v>
      </c>
      <c r="E739" s="8" t="s">
        <v>1551</v>
      </c>
      <c r="F739" s="6" t="s">
        <v>37</v>
      </c>
      <c r="G739" s="7" t="s">
        <v>27</v>
      </c>
      <c r="H739" s="7" t="s">
        <v>38</v>
      </c>
      <c r="I739" s="7" t="s">
        <v>120</v>
      </c>
      <c r="J739" s="6" t="s">
        <v>1281</v>
      </c>
      <c r="K739" s="6" t="n">
        <v>3</v>
      </c>
      <c r="L739" s="7" t="s">
        <v>1531</v>
      </c>
      <c r="M739" s="6" t="n">
        <v>13</v>
      </c>
      <c r="N739" s="7" t="s">
        <v>40</v>
      </c>
    </row>
    <row r="740" customFormat="false" ht="15" hidden="false" customHeight="false" outlineLevel="0" collapsed="false">
      <c r="A740" s="6" t="n">
        <v>739</v>
      </c>
      <c r="B740" s="7" t="s">
        <v>1276</v>
      </c>
      <c r="C740" s="7" t="s">
        <v>1529</v>
      </c>
      <c r="D740" s="8" t="s">
        <v>1552</v>
      </c>
      <c r="E740" s="7" t="s">
        <v>1553</v>
      </c>
      <c r="F740" s="6" t="s">
        <v>378</v>
      </c>
      <c r="G740" s="7" t="s">
        <v>27</v>
      </c>
      <c r="H740" s="7" t="s">
        <v>38</v>
      </c>
      <c r="I740" s="7" t="s">
        <v>363</v>
      </c>
      <c r="J740" s="6" t="s">
        <v>1281</v>
      </c>
      <c r="K740" s="6" t="n">
        <v>3</v>
      </c>
      <c r="L740" s="7" t="s">
        <v>1531</v>
      </c>
      <c r="M740" s="6" t="n">
        <v>14</v>
      </c>
      <c r="N740" s="7" t="s">
        <v>40</v>
      </c>
    </row>
    <row r="741" customFormat="false" ht="29.85" hidden="false" customHeight="false" outlineLevel="0" collapsed="false">
      <c r="A741" s="6" t="n">
        <v>740</v>
      </c>
      <c r="B741" s="7" t="s">
        <v>1276</v>
      </c>
      <c r="C741" s="7" t="s">
        <v>1529</v>
      </c>
      <c r="D741" s="8" t="s">
        <v>1554</v>
      </c>
      <c r="E741" s="7" t="s">
        <v>1555</v>
      </c>
      <c r="F741" s="6" t="s">
        <v>476</v>
      </c>
      <c r="G741" s="7" t="s">
        <v>43</v>
      </c>
      <c r="H741" s="7" t="s">
        <v>38</v>
      </c>
      <c r="I741" s="7" t="s">
        <v>681</v>
      </c>
      <c r="J741" s="6" t="s">
        <v>1281</v>
      </c>
      <c r="K741" s="6" t="n">
        <v>3</v>
      </c>
      <c r="L741" s="7" t="s">
        <v>1531</v>
      </c>
      <c r="M741" s="6" t="n">
        <v>15</v>
      </c>
      <c r="N741" s="7" t="s">
        <v>40</v>
      </c>
    </row>
    <row r="742" customFormat="false" ht="29.85" hidden="false" customHeight="false" outlineLevel="0" collapsed="false">
      <c r="A742" s="6" t="n">
        <v>741</v>
      </c>
      <c r="B742" s="7" t="s">
        <v>1276</v>
      </c>
      <c r="C742" s="7" t="s">
        <v>1529</v>
      </c>
      <c r="D742" s="8" t="s">
        <v>1556</v>
      </c>
      <c r="E742" s="7" t="s">
        <v>1529</v>
      </c>
      <c r="F742" s="6" t="s">
        <v>476</v>
      </c>
      <c r="G742" s="7" t="s">
        <v>43</v>
      </c>
      <c r="H742" s="7" t="s">
        <v>38</v>
      </c>
      <c r="I742" s="7" t="s">
        <v>685</v>
      </c>
      <c r="J742" s="6" t="s">
        <v>1281</v>
      </c>
      <c r="K742" s="6" t="n">
        <v>3</v>
      </c>
      <c r="L742" s="7" t="s">
        <v>1531</v>
      </c>
      <c r="M742" s="6" t="n">
        <v>16</v>
      </c>
      <c r="N742" s="7" t="s">
        <v>40</v>
      </c>
    </row>
    <row r="743" customFormat="false" ht="29.85" hidden="false" customHeight="false" outlineLevel="0" collapsed="false">
      <c r="A743" s="6" t="n">
        <v>742</v>
      </c>
      <c r="B743" s="7" t="s">
        <v>1276</v>
      </c>
      <c r="C743" s="7" t="s">
        <v>1529</v>
      </c>
      <c r="D743" s="8" t="s">
        <v>1557</v>
      </c>
      <c r="E743" s="7" t="s">
        <v>1542</v>
      </c>
      <c r="F743" s="6" t="s">
        <v>476</v>
      </c>
      <c r="G743" s="7" t="s">
        <v>43</v>
      </c>
      <c r="H743" s="7" t="s">
        <v>38</v>
      </c>
      <c r="I743" s="7" t="s">
        <v>685</v>
      </c>
      <c r="J743" s="6" t="s">
        <v>1281</v>
      </c>
      <c r="K743" s="6" t="n">
        <v>3</v>
      </c>
      <c r="L743" s="7" t="s">
        <v>1531</v>
      </c>
      <c r="M743" s="6" t="n">
        <v>17</v>
      </c>
      <c r="N743" s="7" t="s">
        <v>40</v>
      </c>
    </row>
    <row r="744" customFormat="false" ht="44" hidden="false" customHeight="false" outlineLevel="0" collapsed="false">
      <c r="A744" s="6" t="n">
        <v>743</v>
      </c>
      <c r="B744" s="7" t="s">
        <v>1276</v>
      </c>
      <c r="C744" s="7" t="s">
        <v>1529</v>
      </c>
      <c r="D744" s="8" t="s">
        <v>1558</v>
      </c>
      <c r="E744" s="7" t="s">
        <v>1542</v>
      </c>
      <c r="F744" s="6" t="s">
        <v>476</v>
      </c>
      <c r="G744" s="7" t="s">
        <v>43</v>
      </c>
      <c r="H744" s="7" t="s">
        <v>38</v>
      </c>
      <c r="I744" s="7" t="s">
        <v>643</v>
      </c>
      <c r="J744" s="6" t="s">
        <v>1281</v>
      </c>
      <c r="K744" s="6" t="n">
        <v>3</v>
      </c>
      <c r="L744" s="7" t="s">
        <v>1531</v>
      </c>
      <c r="M744" s="6" t="n">
        <v>18</v>
      </c>
      <c r="N744" s="7" t="s">
        <v>40</v>
      </c>
    </row>
    <row r="745" customFormat="false" ht="44" hidden="false" customHeight="false" outlineLevel="0" collapsed="false">
      <c r="A745" s="6" t="n">
        <v>744</v>
      </c>
      <c r="B745" s="7" t="s">
        <v>1276</v>
      </c>
      <c r="C745" s="7" t="s">
        <v>1529</v>
      </c>
      <c r="D745" s="8" t="s">
        <v>1559</v>
      </c>
      <c r="E745" s="8" t="s">
        <v>1560</v>
      </c>
      <c r="F745" s="6" t="s">
        <v>37</v>
      </c>
      <c r="G745" s="7" t="s">
        <v>27</v>
      </c>
      <c r="H745" s="10" t="s">
        <v>389</v>
      </c>
      <c r="I745" s="7" t="s">
        <v>1561</v>
      </c>
      <c r="J745" s="6" t="s">
        <v>1281</v>
      </c>
      <c r="K745" s="6" t="n">
        <v>3</v>
      </c>
      <c r="L745" s="7" t="s">
        <v>1531</v>
      </c>
      <c r="M745" s="6" t="n">
        <v>19</v>
      </c>
      <c r="N745" s="7" t="s">
        <v>40</v>
      </c>
    </row>
    <row r="746" customFormat="false" ht="15" hidden="false" customHeight="false" outlineLevel="0" collapsed="false">
      <c r="A746" s="6" t="n">
        <v>745</v>
      </c>
      <c r="B746" s="7" t="s">
        <v>1276</v>
      </c>
      <c r="C746" s="7" t="s">
        <v>1562</v>
      </c>
      <c r="D746" s="8" t="s">
        <v>1563</v>
      </c>
      <c r="E746" s="7" t="s">
        <v>1564</v>
      </c>
      <c r="F746" s="6" t="s">
        <v>31</v>
      </c>
      <c r="G746" s="7" t="s">
        <v>27</v>
      </c>
      <c r="H746" s="7" t="s">
        <v>20</v>
      </c>
      <c r="I746" s="7" t="s">
        <v>1291</v>
      </c>
      <c r="J746" s="6" t="s">
        <v>1281</v>
      </c>
      <c r="K746" s="6" t="n">
        <v>4</v>
      </c>
      <c r="L746" s="7" t="s">
        <v>1565</v>
      </c>
      <c r="M746" s="6" t="n">
        <v>1</v>
      </c>
      <c r="N746" s="7" t="s">
        <v>24</v>
      </c>
    </row>
    <row r="747" customFormat="false" ht="15" hidden="false" customHeight="false" outlineLevel="0" collapsed="false">
      <c r="A747" s="6" t="n">
        <v>746</v>
      </c>
      <c r="B747" s="7" t="s">
        <v>1276</v>
      </c>
      <c r="C747" s="7" t="s">
        <v>1562</v>
      </c>
      <c r="D747" s="8" t="s">
        <v>1566</v>
      </c>
      <c r="E747" s="7" t="s">
        <v>1567</v>
      </c>
      <c r="F747" s="6" t="s">
        <v>476</v>
      </c>
      <c r="G747" s="7" t="s">
        <v>43</v>
      </c>
      <c r="H747" s="7" t="s">
        <v>20</v>
      </c>
      <c r="I747" s="7" t="s">
        <v>34</v>
      </c>
      <c r="J747" s="6" t="s">
        <v>1281</v>
      </c>
      <c r="K747" s="6" t="n">
        <v>4</v>
      </c>
      <c r="L747" s="7" t="s">
        <v>1565</v>
      </c>
      <c r="M747" s="6" t="n">
        <v>2</v>
      </c>
      <c r="N747" s="7" t="s">
        <v>24</v>
      </c>
    </row>
    <row r="748" customFormat="false" ht="15" hidden="false" customHeight="false" outlineLevel="0" collapsed="false">
      <c r="A748" s="6" t="n">
        <v>747</v>
      </c>
      <c r="B748" s="7" t="s">
        <v>1276</v>
      </c>
      <c r="C748" s="7" t="s">
        <v>1562</v>
      </c>
      <c r="D748" s="8" t="s">
        <v>1568</v>
      </c>
      <c r="E748" s="7" t="s">
        <v>1569</v>
      </c>
      <c r="F748" s="6" t="s">
        <v>476</v>
      </c>
      <c r="G748" s="7" t="s">
        <v>43</v>
      </c>
      <c r="H748" s="7" t="s">
        <v>20</v>
      </c>
      <c r="I748" s="7" t="s">
        <v>34</v>
      </c>
      <c r="J748" s="6" t="s">
        <v>1281</v>
      </c>
      <c r="K748" s="6" t="n">
        <v>4</v>
      </c>
      <c r="L748" s="7" t="s">
        <v>1565</v>
      </c>
      <c r="M748" s="6" t="n">
        <v>3</v>
      </c>
      <c r="N748" s="7" t="s">
        <v>24</v>
      </c>
    </row>
    <row r="749" customFormat="false" ht="15" hidden="false" customHeight="false" outlineLevel="0" collapsed="false">
      <c r="A749" s="6" t="n">
        <v>748</v>
      </c>
      <c r="B749" s="7" t="s">
        <v>1276</v>
      </c>
      <c r="C749" s="7" t="s">
        <v>1562</v>
      </c>
      <c r="D749" s="8" t="s">
        <v>1570</v>
      </c>
      <c r="E749" s="7" t="s">
        <v>1571</v>
      </c>
      <c r="F749" s="6" t="s">
        <v>476</v>
      </c>
      <c r="G749" s="7" t="s">
        <v>43</v>
      </c>
      <c r="H749" s="7" t="s">
        <v>20</v>
      </c>
      <c r="I749" s="7" t="s">
        <v>183</v>
      </c>
      <c r="J749" s="6" t="s">
        <v>1281</v>
      </c>
      <c r="K749" s="6" t="n">
        <v>4</v>
      </c>
      <c r="L749" s="7" t="s">
        <v>1565</v>
      </c>
      <c r="M749" s="6" t="n">
        <v>4</v>
      </c>
      <c r="N749" s="7" t="s">
        <v>24</v>
      </c>
    </row>
    <row r="750" customFormat="false" ht="15" hidden="false" customHeight="false" outlineLevel="0" collapsed="false">
      <c r="A750" s="6" t="n">
        <v>749</v>
      </c>
      <c r="B750" s="7" t="s">
        <v>1276</v>
      </c>
      <c r="C750" s="7" t="s">
        <v>1562</v>
      </c>
      <c r="D750" s="8" t="s">
        <v>1572</v>
      </c>
      <c r="E750" s="7" t="s">
        <v>1573</v>
      </c>
      <c r="F750" s="6" t="s">
        <v>378</v>
      </c>
      <c r="G750" s="7" t="s">
        <v>27</v>
      </c>
      <c r="H750" s="7" t="s">
        <v>38</v>
      </c>
      <c r="I750" s="7" t="s">
        <v>363</v>
      </c>
      <c r="J750" s="6" t="s">
        <v>1281</v>
      </c>
      <c r="K750" s="6" t="n">
        <v>4</v>
      </c>
      <c r="L750" s="7" t="s">
        <v>1565</v>
      </c>
      <c r="M750" s="6" t="n">
        <v>5</v>
      </c>
      <c r="N750" s="7" t="s">
        <v>40</v>
      </c>
    </row>
    <row r="751" customFormat="false" ht="15" hidden="false" customHeight="false" outlineLevel="0" collapsed="false">
      <c r="A751" s="6" t="n">
        <v>750</v>
      </c>
      <c r="B751" s="7" t="s">
        <v>1276</v>
      </c>
      <c r="C751" s="7" t="s">
        <v>1562</v>
      </c>
      <c r="D751" s="8" t="s">
        <v>1574</v>
      </c>
      <c r="E751" s="7" t="s">
        <v>1562</v>
      </c>
      <c r="F751" s="6" t="s">
        <v>476</v>
      </c>
      <c r="G751" s="7" t="s">
        <v>43</v>
      </c>
      <c r="H751" s="7" t="s">
        <v>20</v>
      </c>
      <c r="I751" s="7" t="s">
        <v>138</v>
      </c>
      <c r="J751" s="6" t="s">
        <v>1281</v>
      </c>
      <c r="K751" s="6" t="n">
        <v>4</v>
      </c>
      <c r="L751" s="7" t="s">
        <v>1565</v>
      </c>
      <c r="M751" s="6" t="n">
        <v>6</v>
      </c>
      <c r="N751" s="7" t="s">
        <v>24</v>
      </c>
    </row>
    <row r="752" customFormat="false" ht="15" hidden="false" customHeight="false" outlineLevel="0" collapsed="false">
      <c r="A752" s="6" t="n">
        <v>751</v>
      </c>
      <c r="B752" s="7" t="s">
        <v>1276</v>
      </c>
      <c r="C752" s="7" t="s">
        <v>1562</v>
      </c>
      <c r="D752" s="8" t="s">
        <v>1575</v>
      </c>
      <c r="E752" s="7" t="s">
        <v>1562</v>
      </c>
      <c r="F752" s="6" t="s">
        <v>476</v>
      </c>
      <c r="G752" s="7" t="s">
        <v>43</v>
      </c>
      <c r="H752" s="7" t="s">
        <v>20</v>
      </c>
      <c r="I752" s="7" t="s">
        <v>138</v>
      </c>
      <c r="J752" s="6" t="s">
        <v>1281</v>
      </c>
      <c r="K752" s="6" t="n">
        <v>4</v>
      </c>
      <c r="L752" s="7" t="s">
        <v>1565</v>
      </c>
      <c r="M752" s="6" t="n">
        <v>7</v>
      </c>
      <c r="N752" s="7" t="s">
        <v>24</v>
      </c>
    </row>
    <row r="753" customFormat="false" ht="15" hidden="false" customHeight="false" outlineLevel="0" collapsed="false">
      <c r="A753" s="6" t="n">
        <v>752</v>
      </c>
      <c r="B753" s="7" t="s">
        <v>1276</v>
      </c>
      <c r="C753" s="7" t="s">
        <v>1562</v>
      </c>
      <c r="D753" s="8" t="s">
        <v>1576</v>
      </c>
      <c r="E753" s="7" t="s">
        <v>1567</v>
      </c>
      <c r="F753" s="6" t="s">
        <v>476</v>
      </c>
      <c r="G753" s="7" t="s">
        <v>43</v>
      </c>
      <c r="H753" s="7" t="s">
        <v>20</v>
      </c>
      <c r="I753" s="7" t="s">
        <v>138</v>
      </c>
      <c r="J753" s="6" t="s">
        <v>1281</v>
      </c>
      <c r="K753" s="6" t="n">
        <v>4</v>
      </c>
      <c r="L753" s="7" t="s">
        <v>1565</v>
      </c>
      <c r="M753" s="6" t="n">
        <v>8</v>
      </c>
      <c r="N753" s="7" t="s">
        <v>24</v>
      </c>
    </row>
    <row r="754" customFormat="false" ht="15" hidden="false" customHeight="false" outlineLevel="0" collapsed="false">
      <c r="A754" s="6" t="n">
        <v>753</v>
      </c>
      <c r="B754" s="7" t="s">
        <v>1276</v>
      </c>
      <c r="C754" s="7" t="s">
        <v>1562</v>
      </c>
      <c r="D754" s="8" t="s">
        <v>1577</v>
      </c>
      <c r="E754" s="7" t="s">
        <v>1578</v>
      </c>
      <c r="F754" s="6" t="s">
        <v>476</v>
      </c>
      <c r="G754" s="7" t="s">
        <v>43</v>
      </c>
      <c r="H754" s="7" t="s">
        <v>20</v>
      </c>
      <c r="I754" s="7" t="s">
        <v>138</v>
      </c>
      <c r="J754" s="6" t="s">
        <v>1281</v>
      </c>
      <c r="K754" s="6" t="n">
        <v>4</v>
      </c>
      <c r="L754" s="7" t="s">
        <v>1565</v>
      </c>
      <c r="M754" s="6" t="n">
        <v>9</v>
      </c>
      <c r="N754" s="7" t="s">
        <v>24</v>
      </c>
    </row>
    <row r="755" customFormat="false" ht="15" hidden="false" customHeight="false" outlineLevel="0" collapsed="false">
      <c r="A755" s="6" t="n">
        <v>754</v>
      </c>
      <c r="B755" s="7" t="s">
        <v>1276</v>
      </c>
      <c r="C755" s="7" t="s">
        <v>1562</v>
      </c>
      <c r="D755" s="8" t="s">
        <v>1579</v>
      </c>
      <c r="E755" s="7" t="s">
        <v>1580</v>
      </c>
      <c r="F755" s="6" t="s">
        <v>476</v>
      </c>
      <c r="G755" s="7" t="s">
        <v>43</v>
      </c>
      <c r="H755" s="7" t="s">
        <v>38</v>
      </c>
      <c r="I755" s="7" t="s">
        <v>1581</v>
      </c>
      <c r="J755" s="6" t="s">
        <v>1281</v>
      </c>
      <c r="K755" s="6" t="n">
        <v>4</v>
      </c>
      <c r="L755" s="7" t="s">
        <v>1565</v>
      </c>
      <c r="M755" s="6" t="n">
        <v>10</v>
      </c>
      <c r="N755" s="7" t="s">
        <v>40</v>
      </c>
    </row>
    <row r="756" customFormat="false" ht="15" hidden="false" customHeight="false" outlineLevel="0" collapsed="false">
      <c r="A756" s="6" t="n">
        <v>755</v>
      </c>
      <c r="B756" s="7" t="s">
        <v>1276</v>
      </c>
      <c r="C756" s="7" t="s">
        <v>1562</v>
      </c>
      <c r="D756" s="8" t="s">
        <v>1582</v>
      </c>
      <c r="E756" s="7" t="s">
        <v>1583</v>
      </c>
      <c r="F756" s="6" t="s">
        <v>476</v>
      </c>
      <c r="G756" s="7" t="s">
        <v>43</v>
      </c>
      <c r="H756" s="7" t="s">
        <v>20</v>
      </c>
      <c r="I756" s="7" t="s">
        <v>46</v>
      </c>
      <c r="J756" s="6" t="s">
        <v>1281</v>
      </c>
      <c r="K756" s="6" t="n">
        <v>4</v>
      </c>
      <c r="L756" s="7" t="s">
        <v>1565</v>
      </c>
      <c r="M756" s="6" t="n">
        <v>11</v>
      </c>
      <c r="N756" s="7" t="s">
        <v>24</v>
      </c>
    </row>
    <row r="757" customFormat="false" ht="15" hidden="false" customHeight="false" outlineLevel="0" collapsed="false">
      <c r="A757" s="6" t="n">
        <v>756</v>
      </c>
      <c r="B757" s="7" t="s">
        <v>1276</v>
      </c>
      <c r="C757" s="7" t="s">
        <v>1562</v>
      </c>
      <c r="D757" s="8" t="s">
        <v>1584</v>
      </c>
      <c r="E757" s="7" t="s">
        <v>1585</v>
      </c>
      <c r="F757" s="6" t="s">
        <v>476</v>
      </c>
      <c r="G757" s="7" t="s">
        <v>43</v>
      </c>
      <c r="H757" s="7" t="s">
        <v>20</v>
      </c>
      <c r="I757" s="7" t="s">
        <v>189</v>
      </c>
      <c r="J757" s="6" t="s">
        <v>1281</v>
      </c>
      <c r="K757" s="6" t="n">
        <v>4</v>
      </c>
      <c r="L757" s="7" t="s">
        <v>1565</v>
      </c>
      <c r="M757" s="6" t="n">
        <v>12</v>
      </c>
      <c r="N757" s="7" t="s">
        <v>24</v>
      </c>
    </row>
    <row r="758" customFormat="false" ht="15" hidden="false" customHeight="false" outlineLevel="0" collapsed="false">
      <c r="A758" s="6" t="n">
        <v>757</v>
      </c>
      <c r="B758" s="7" t="s">
        <v>1276</v>
      </c>
      <c r="C758" s="7" t="s">
        <v>1562</v>
      </c>
      <c r="D758" s="8" t="s">
        <v>1586</v>
      </c>
      <c r="E758" s="7" t="s">
        <v>1587</v>
      </c>
      <c r="F758" s="6" t="s">
        <v>476</v>
      </c>
      <c r="G758" s="7" t="s">
        <v>43</v>
      </c>
      <c r="H758" s="7" t="s">
        <v>20</v>
      </c>
      <c r="I758" s="7" t="s">
        <v>189</v>
      </c>
      <c r="J758" s="6" t="s">
        <v>1281</v>
      </c>
      <c r="K758" s="6" t="n">
        <v>4</v>
      </c>
      <c r="L758" s="7" t="s">
        <v>1565</v>
      </c>
      <c r="M758" s="6" t="n">
        <v>13</v>
      </c>
      <c r="N758" s="7" t="s">
        <v>24</v>
      </c>
    </row>
    <row r="759" customFormat="false" ht="15" hidden="false" customHeight="false" outlineLevel="0" collapsed="false">
      <c r="A759" s="6" t="n">
        <v>758</v>
      </c>
      <c r="B759" s="7" t="s">
        <v>1276</v>
      </c>
      <c r="C759" s="7" t="s">
        <v>1562</v>
      </c>
      <c r="D759" s="8" t="s">
        <v>1588</v>
      </c>
      <c r="E759" s="7" t="s">
        <v>1589</v>
      </c>
      <c r="F759" s="6" t="s">
        <v>476</v>
      </c>
      <c r="G759" s="7" t="s">
        <v>43</v>
      </c>
      <c r="H759" s="7" t="s">
        <v>20</v>
      </c>
      <c r="I759" s="7" t="s">
        <v>243</v>
      </c>
      <c r="J759" s="6" t="s">
        <v>1281</v>
      </c>
      <c r="K759" s="6" t="n">
        <v>4</v>
      </c>
      <c r="L759" s="7" t="s">
        <v>1565</v>
      </c>
      <c r="M759" s="6" t="n">
        <v>14</v>
      </c>
      <c r="N759" s="7" t="s">
        <v>24</v>
      </c>
    </row>
    <row r="760" customFormat="false" ht="26.85" hidden="false" customHeight="false" outlineLevel="0" collapsed="false">
      <c r="A760" s="6" t="n">
        <v>759</v>
      </c>
      <c r="B760" s="7" t="s">
        <v>1276</v>
      </c>
      <c r="C760" s="7" t="s">
        <v>1562</v>
      </c>
      <c r="D760" s="8" t="s">
        <v>1590</v>
      </c>
      <c r="E760" s="7" t="s">
        <v>1591</v>
      </c>
      <c r="F760" s="6" t="s">
        <v>476</v>
      </c>
      <c r="G760" s="7" t="s">
        <v>43</v>
      </c>
      <c r="H760" s="7" t="s">
        <v>38</v>
      </c>
      <c r="I760" s="7" t="s">
        <v>372</v>
      </c>
      <c r="J760" s="6" t="s">
        <v>1281</v>
      </c>
      <c r="K760" s="6" t="n">
        <v>4</v>
      </c>
      <c r="L760" s="7" t="s">
        <v>1565</v>
      </c>
      <c r="M760" s="6" t="n">
        <v>15</v>
      </c>
      <c r="N760" s="7" t="s">
        <v>40</v>
      </c>
    </row>
    <row r="761" customFormat="false" ht="26.85" hidden="false" customHeight="false" outlineLevel="0" collapsed="false">
      <c r="A761" s="6" t="n">
        <v>760</v>
      </c>
      <c r="B761" s="7" t="s">
        <v>1276</v>
      </c>
      <c r="C761" s="7" t="s">
        <v>1562</v>
      </c>
      <c r="D761" s="8" t="s">
        <v>1592</v>
      </c>
      <c r="E761" s="7" t="s">
        <v>1587</v>
      </c>
      <c r="F761" s="6" t="s">
        <v>476</v>
      </c>
      <c r="G761" s="7" t="s">
        <v>43</v>
      </c>
      <c r="H761" s="7" t="s">
        <v>20</v>
      </c>
      <c r="I761" s="7" t="s">
        <v>192</v>
      </c>
      <c r="J761" s="6" t="s">
        <v>1281</v>
      </c>
      <c r="K761" s="6" t="n">
        <v>4</v>
      </c>
      <c r="L761" s="7" t="s">
        <v>1565</v>
      </c>
      <c r="M761" s="6" t="n">
        <v>16</v>
      </c>
      <c r="N761" s="7" t="s">
        <v>24</v>
      </c>
    </row>
    <row r="762" customFormat="false" ht="29.85" hidden="false" customHeight="false" outlineLevel="0" collapsed="false">
      <c r="A762" s="6" t="n">
        <v>761</v>
      </c>
      <c r="B762" s="7" t="s">
        <v>1276</v>
      </c>
      <c r="C762" s="7" t="s">
        <v>1562</v>
      </c>
      <c r="D762" s="8" t="s">
        <v>1593</v>
      </c>
      <c r="E762" s="7" t="s">
        <v>1594</v>
      </c>
      <c r="F762" s="6" t="s">
        <v>476</v>
      </c>
      <c r="G762" s="7" t="s">
        <v>43</v>
      </c>
      <c r="H762" s="7" t="s">
        <v>20</v>
      </c>
      <c r="I762" s="7" t="s">
        <v>192</v>
      </c>
      <c r="J762" s="6" t="s">
        <v>1281</v>
      </c>
      <c r="K762" s="6" t="n">
        <v>4</v>
      </c>
      <c r="L762" s="7" t="s">
        <v>1565</v>
      </c>
      <c r="M762" s="6" t="n">
        <v>17</v>
      </c>
      <c r="N762" s="7" t="s">
        <v>24</v>
      </c>
    </row>
    <row r="763" customFormat="false" ht="29.85" hidden="false" customHeight="false" outlineLevel="0" collapsed="false">
      <c r="A763" s="6" t="n">
        <v>762</v>
      </c>
      <c r="B763" s="7" t="s">
        <v>1276</v>
      </c>
      <c r="C763" s="7" t="s">
        <v>1562</v>
      </c>
      <c r="D763" s="8" t="s">
        <v>1595</v>
      </c>
      <c r="E763" s="7" t="s">
        <v>1589</v>
      </c>
      <c r="F763" s="6" t="s">
        <v>476</v>
      </c>
      <c r="G763" s="7" t="s">
        <v>43</v>
      </c>
      <c r="H763" s="7" t="s">
        <v>20</v>
      </c>
      <c r="I763" s="7" t="s">
        <v>76</v>
      </c>
      <c r="J763" s="6" t="s">
        <v>1281</v>
      </c>
      <c r="K763" s="6" t="n">
        <v>4</v>
      </c>
      <c r="L763" s="7" t="s">
        <v>1565</v>
      </c>
      <c r="M763" s="6" t="n">
        <v>18</v>
      </c>
      <c r="N763" s="7" t="s">
        <v>24</v>
      </c>
    </row>
    <row r="764" customFormat="false" ht="29.85" hidden="false" customHeight="false" outlineLevel="0" collapsed="false">
      <c r="A764" s="6" t="n">
        <v>763</v>
      </c>
      <c r="B764" s="7" t="s">
        <v>1276</v>
      </c>
      <c r="C764" s="7" t="s">
        <v>1562</v>
      </c>
      <c r="D764" s="8" t="s">
        <v>1596</v>
      </c>
      <c r="E764" s="7" t="s">
        <v>1597</v>
      </c>
      <c r="F764" s="6" t="s">
        <v>476</v>
      </c>
      <c r="G764" s="7" t="s">
        <v>43</v>
      </c>
      <c r="H764" s="7" t="s">
        <v>20</v>
      </c>
      <c r="I764" s="7" t="s">
        <v>76</v>
      </c>
      <c r="J764" s="6" t="s">
        <v>1281</v>
      </c>
      <c r="K764" s="6" t="n">
        <v>4</v>
      </c>
      <c r="L764" s="7" t="s">
        <v>1565</v>
      </c>
      <c r="M764" s="6" t="n">
        <v>19</v>
      </c>
      <c r="N764" s="7" t="s">
        <v>24</v>
      </c>
    </row>
    <row r="765" customFormat="false" ht="26.85" hidden="false" customHeight="false" outlineLevel="0" collapsed="false">
      <c r="A765" s="6" t="n">
        <v>764</v>
      </c>
      <c r="B765" s="7" t="s">
        <v>1276</v>
      </c>
      <c r="C765" s="7" t="s">
        <v>1562</v>
      </c>
      <c r="D765" s="8" t="s">
        <v>1598</v>
      </c>
      <c r="E765" s="7" t="s">
        <v>1599</v>
      </c>
      <c r="F765" s="6" t="s">
        <v>476</v>
      </c>
      <c r="G765" s="7" t="s">
        <v>43</v>
      </c>
      <c r="H765" s="7" t="s">
        <v>38</v>
      </c>
      <c r="I765" s="7" t="s">
        <v>372</v>
      </c>
      <c r="J765" s="6" t="s">
        <v>1281</v>
      </c>
      <c r="K765" s="6" t="n">
        <v>4</v>
      </c>
      <c r="L765" s="7" t="s">
        <v>1565</v>
      </c>
      <c r="M765" s="6" t="n">
        <v>20</v>
      </c>
      <c r="N765" s="7" t="s">
        <v>40</v>
      </c>
    </row>
    <row r="766" customFormat="false" ht="29.85" hidden="false" customHeight="false" outlineLevel="0" collapsed="false">
      <c r="A766" s="6" t="n">
        <v>765</v>
      </c>
      <c r="B766" s="7" t="s">
        <v>1276</v>
      </c>
      <c r="C766" s="7" t="s">
        <v>1562</v>
      </c>
      <c r="D766" s="8" t="s">
        <v>1600</v>
      </c>
      <c r="E766" s="7" t="s">
        <v>1585</v>
      </c>
      <c r="F766" s="6" t="s">
        <v>476</v>
      </c>
      <c r="G766" s="7" t="s">
        <v>43</v>
      </c>
      <c r="H766" s="7" t="s">
        <v>20</v>
      </c>
      <c r="I766" s="7" t="s">
        <v>49</v>
      </c>
      <c r="J766" s="6" t="s">
        <v>1281</v>
      </c>
      <c r="K766" s="6" t="n">
        <v>4</v>
      </c>
      <c r="L766" s="7" t="s">
        <v>1565</v>
      </c>
      <c r="M766" s="6" t="n">
        <v>21</v>
      </c>
      <c r="N766" s="7" t="s">
        <v>24</v>
      </c>
    </row>
    <row r="767" customFormat="false" ht="29.85" hidden="false" customHeight="false" outlineLevel="0" collapsed="false">
      <c r="A767" s="6" t="n">
        <v>766</v>
      </c>
      <c r="B767" s="7" t="s">
        <v>1276</v>
      </c>
      <c r="C767" s="7" t="s">
        <v>1562</v>
      </c>
      <c r="D767" s="8" t="s">
        <v>1601</v>
      </c>
      <c r="E767" s="7" t="s">
        <v>1602</v>
      </c>
      <c r="F767" s="6" t="s">
        <v>476</v>
      </c>
      <c r="G767" s="7" t="s">
        <v>43</v>
      </c>
      <c r="H767" s="7" t="s">
        <v>20</v>
      </c>
      <c r="I767" s="7" t="s">
        <v>49</v>
      </c>
      <c r="J767" s="6" t="s">
        <v>1281</v>
      </c>
      <c r="K767" s="6" t="n">
        <v>4</v>
      </c>
      <c r="L767" s="7" t="s">
        <v>1565</v>
      </c>
      <c r="M767" s="6" t="n">
        <v>22</v>
      </c>
      <c r="N767" s="7" t="s">
        <v>24</v>
      </c>
    </row>
    <row r="768" customFormat="false" ht="29.85" hidden="false" customHeight="false" outlineLevel="0" collapsed="false">
      <c r="A768" s="6" t="n">
        <v>767</v>
      </c>
      <c r="B768" s="7" t="s">
        <v>1276</v>
      </c>
      <c r="C768" s="7" t="s">
        <v>1562</v>
      </c>
      <c r="D768" s="8" t="s">
        <v>1603</v>
      </c>
      <c r="E768" s="7" t="s">
        <v>1604</v>
      </c>
      <c r="F768" s="6" t="s">
        <v>476</v>
      </c>
      <c r="G768" s="7" t="s">
        <v>43</v>
      </c>
      <c r="H768" s="7" t="s">
        <v>20</v>
      </c>
      <c r="I768" s="7" t="s">
        <v>85</v>
      </c>
      <c r="J768" s="6" t="s">
        <v>1281</v>
      </c>
      <c r="K768" s="6" t="n">
        <v>4</v>
      </c>
      <c r="L768" s="7" t="s">
        <v>1565</v>
      </c>
      <c r="M768" s="6" t="n">
        <v>23</v>
      </c>
      <c r="N768" s="7" t="s">
        <v>24</v>
      </c>
    </row>
    <row r="769" customFormat="false" ht="29.85" hidden="false" customHeight="false" outlineLevel="0" collapsed="false">
      <c r="A769" s="6" t="n">
        <v>768</v>
      </c>
      <c r="B769" s="7" t="s">
        <v>1276</v>
      </c>
      <c r="C769" s="7" t="s">
        <v>1562</v>
      </c>
      <c r="D769" s="8" t="s">
        <v>1605</v>
      </c>
      <c r="E769" s="7" t="s">
        <v>1578</v>
      </c>
      <c r="F769" s="6" t="s">
        <v>476</v>
      </c>
      <c r="G769" s="7" t="s">
        <v>43</v>
      </c>
      <c r="H769" s="7" t="s">
        <v>20</v>
      </c>
      <c r="I769" s="7" t="s">
        <v>88</v>
      </c>
      <c r="J769" s="6" t="s">
        <v>1281</v>
      </c>
      <c r="K769" s="6" t="n">
        <v>4</v>
      </c>
      <c r="L769" s="7" t="s">
        <v>1565</v>
      </c>
      <c r="M769" s="6" t="n">
        <v>24</v>
      </c>
      <c r="N769" s="7" t="s">
        <v>24</v>
      </c>
    </row>
    <row r="770" customFormat="false" ht="29.85" hidden="false" customHeight="false" outlineLevel="0" collapsed="false">
      <c r="A770" s="6" t="n">
        <v>769</v>
      </c>
      <c r="B770" s="7" t="s">
        <v>1276</v>
      </c>
      <c r="C770" s="7" t="s">
        <v>1562</v>
      </c>
      <c r="D770" s="8" t="s">
        <v>1606</v>
      </c>
      <c r="E770" s="7" t="s">
        <v>1607</v>
      </c>
      <c r="F770" s="6" t="s">
        <v>476</v>
      </c>
      <c r="G770" s="7" t="s">
        <v>43</v>
      </c>
      <c r="H770" s="7" t="s">
        <v>38</v>
      </c>
      <c r="I770" s="7" t="s">
        <v>496</v>
      </c>
      <c r="J770" s="6" t="s">
        <v>1281</v>
      </c>
      <c r="K770" s="6" t="n">
        <v>4</v>
      </c>
      <c r="L770" s="7" t="s">
        <v>1565</v>
      </c>
      <c r="M770" s="6" t="n">
        <v>25</v>
      </c>
      <c r="N770" s="7" t="s">
        <v>40</v>
      </c>
    </row>
    <row r="771" customFormat="false" ht="29.85" hidden="false" customHeight="false" outlineLevel="0" collapsed="false">
      <c r="A771" s="6" t="n">
        <v>770</v>
      </c>
      <c r="B771" s="7" t="s">
        <v>1276</v>
      </c>
      <c r="C771" s="7" t="s">
        <v>1562</v>
      </c>
      <c r="D771" s="8" t="s">
        <v>1608</v>
      </c>
      <c r="E771" s="7" t="s">
        <v>1609</v>
      </c>
      <c r="F771" s="6" t="s">
        <v>476</v>
      </c>
      <c r="G771" s="7" t="s">
        <v>43</v>
      </c>
      <c r="H771" s="7" t="s">
        <v>20</v>
      </c>
      <c r="I771" s="7" t="s">
        <v>88</v>
      </c>
      <c r="J771" s="6" t="s">
        <v>1281</v>
      </c>
      <c r="K771" s="6" t="n">
        <v>4</v>
      </c>
      <c r="L771" s="7" t="s">
        <v>1565</v>
      </c>
      <c r="M771" s="6" t="n">
        <v>26</v>
      </c>
      <c r="N771" s="7" t="s">
        <v>24</v>
      </c>
    </row>
    <row r="772" customFormat="false" ht="29.85" hidden="false" customHeight="false" outlineLevel="0" collapsed="false">
      <c r="A772" s="6" t="n">
        <v>771</v>
      </c>
      <c r="B772" s="7" t="s">
        <v>1276</v>
      </c>
      <c r="C772" s="7" t="s">
        <v>1562</v>
      </c>
      <c r="D772" s="8" t="s">
        <v>1610</v>
      </c>
      <c r="E772" s="7" t="s">
        <v>1571</v>
      </c>
      <c r="F772" s="6" t="s">
        <v>476</v>
      </c>
      <c r="G772" s="7" t="s">
        <v>43</v>
      </c>
      <c r="H772" s="7" t="s">
        <v>20</v>
      </c>
      <c r="I772" s="7" t="s">
        <v>88</v>
      </c>
      <c r="J772" s="6" t="s">
        <v>1281</v>
      </c>
      <c r="K772" s="6" t="n">
        <v>4</v>
      </c>
      <c r="L772" s="7" t="s">
        <v>1565</v>
      </c>
      <c r="M772" s="6" t="n">
        <v>27</v>
      </c>
      <c r="N772" s="7" t="s">
        <v>24</v>
      </c>
    </row>
    <row r="773" customFormat="false" ht="29.85" hidden="false" customHeight="false" outlineLevel="0" collapsed="false">
      <c r="A773" s="6" t="n">
        <v>772</v>
      </c>
      <c r="B773" s="7" t="s">
        <v>1276</v>
      </c>
      <c r="C773" s="7" t="s">
        <v>1562</v>
      </c>
      <c r="D773" s="8" t="s">
        <v>1611</v>
      </c>
      <c r="E773" s="7" t="s">
        <v>1612</v>
      </c>
      <c r="F773" s="6" t="s">
        <v>526</v>
      </c>
      <c r="G773" s="7" t="s">
        <v>43</v>
      </c>
      <c r="H773" s="7" t="s">
        <v>20</v>
      </c>
      <c r="I773" s="7" t="s">
        <v>91</v>
      </c>
      <c r="J773" s="6" t="s">
        <v>1281</v>
      </c>
      <c r="K773" s="6" t="n">
        <v>4</v>
      </c>
      <c r="L773" s="7" t="s">
        <v>1565</v>
      </c>
      <c r="M773" s="6" t="n">
        <v>28</v>
      </c>
      <c r="N773" s="7" t="s">
        <v>24</v>
      </c>
    </row>
    <row r="774" customFormat="false" ht="29.85" hidden="false" customHeight="false" outlineLevel="0" collapsed="false">
      <c r="A774" s="6" t="n">
        <v>773</v>
      </c>
      <c r="B774" s="7" t="s">
        <v>1276</v>
      </c>
      <c r="C774" s="7" t="s">
        <v>1562</v>
      </c>
      <c r="D774" s="8" t="s">
        <v>1613</v>
      </c>
      <c r="E774" s="7" t="s">
        <v>1612</v>
      </c>
      <c r="F774" s="6" t="s">
        <v>526</v>
      </c>
      <c r="G774" s="7" t="s">
        <v>43</v>
      </c>
      <c r="H774" s="7" t="s">
        <v>20</v>
      </c>
      <c r="I774" s="7" t="s">
        <v>457</v>
      </c>
      <c r="J774" s="6" t="s">
        <v>1281</v>
      </c>
      <c r="K774" s="6" t="n">
        <v>4</v>
      </c>
      <c r="L774" s="7" t="s">
        <v>1565</v>
      </c>
      <c r="M774" s="6" t="n">
        <v>29</v>
      </c>
      <c r="N774" s="7" t="s">
        <v>24</v>
      </c>
    </row>
    <row r="775" customFormat="false" ht="29.85" hidden="false" customHeight="false" outlineLevel="0" collapsed="false">
      <c r="A775" s="6" t="n">
        <v>774</v>
      </c>
      <c r="B775" s="7" t="s">
        <v>1276</v>
      </c>
      <c r="C775" s="7" t="s">
        <v>1562</v>
      </c>
      <c r="D775" s="8" t="s">
        <v>1614</v>
      </c>
      <c r="E775" s="7" t="s">
        <v>1609</v>
      </c>
      <c r="F775" s="6" t="s">
        <v>476</v>
      </c>
      <c r="G775" s="7" t="s">
        <v>43</v>
      </c>
      <c r="H775" s="7" t="s">
        <v>38</v>
      </c>
      <c r="I775" s="7" t="s">
        <v>565</v>
      </c>
      <c r="J775" s="6" t="s">
        <v>1281</v>
      </c>
      <c r="K775" s="6" t="n">
        <v>4</v>
      </c>
      <c r="L775" s="7" t="s">
        <v>1565</v>
      </c>
      <c r="M775" s="6" t="n">
        <v>30</v>
      </c>
      <c r="N775" s="7" t="s">
        <v>40</v>
      </c>
    </row>
    <row r="776" customFormat="false" ht="29.85" hidden="false" customHeight="false" outlineLevel="0" collapsed="false">
      <c r="A776" s="6" t="n">
        <v>775</v>
      </c>
      <c r="B776" s="7" t="s">
        <v>1276</v>
      </c>
      <c r="C776" s="7" t="s">
        <v>1562</v>
      </c>
      <c r="D776" s="8" t="s">
        <v>1615</v>
      </c>
      <c r="E776" s="7" t="s">
        <v>1569</v>
      </c>
      <c r="F776" s="6" t="s">
        <v>476</v>
      </c>
      <c r="G776" s="7" t="s">
        <v>43</v>
      </c>
      <c r="H776" s="7" t="s">
        <v>20</v>
      </c>
      <c r="I776" s="7" t="s">
        <v>457</v>
      </c>
      <c r="J776" s="6" t="s">
        <v>1281</v>
      </c>
      <c r="K776" s="6" t="n">
        <v>4</v>
      </c>
      <c r="L776" s="7" t="s">
        <v>1565</v>
      </c>
      <c r="M776" s="6" t="n">
        <v>31</v>
      </c>
      <c r="N776" s="7" t="s">
        <v>24</v>
      </c>
    </row>
    <row r="777" customFormat="false" ht="29.85" hidden="false" customHeight="false" outlineLevel="0" collapsed="false">
      <c r="A777" s="6" t="n">
        <v>776</v>
      </c>
      <c r="B777" s="7" t="s">
        <v>1276</v>
      </c>
      <c r="C777" s="7" t="s">
        <v>1562</v>
      </c>
      <c r="D777" s="8" t="s">
        <v>1616</v>
      </c>
      <c r="E777" s="7" t="s">
        <v>1569</v>
      </c>
      <c r="F777" s="6" t="s">
        <v>476</v>
      </c>
      <c r="G777" s="7" t="s">
        <v>43</v>
      </c>
      <c r="H777" s="7" t="s">
        <v>20</v>
      </c>
      <c r="I777" s="7" t="s">
        <v>98</v>
      </c>
      <c r="J777" s="6" t="s">
        <v>1281</v>
      </c>
      <c r="K777" s="6" t="n">
        <v>4</v>
      </c>
      <c r="L777" s="7" t="s">
        <v>1565</v>
      </c>
      <c r="M777" s="6" t="n">
        <v>32</v>
      </c>
      <c r="N777" s="7" t="s">
        <v>24</v>
      </c>
    </row>
    <row r="778" customFormat="false" ht="29.85" hidden="false" customHeight="false" outlineLevel="0" collapsed="false">
      <c r="A778" s="6" t="n">
        <v>777</v>
      </c>
      <c r="B778" s="7" t="s">
        <v>1276</v>
      </c>
      <c r="C778" s="7" t="s">
        <v>1562</v>
      </c>
      <c r="D778" s="8" t="s">
        <v>1617</v>
      </c>
      <c r="E778" s="7" t="s">
        <v>1585</v>
      </c>
      <c r="F778" s="6" t="s">
        <v>476</v>
      </c>
      <c r="G778" s="7" t="s">
        <v>43</v>
      </c>
      <c r="H778" s="7" t="s">
        <v>20</v>
      </c>
      <c r="I778" s="7" t="s">
        <v>105</v>
      </c>
      <c r="J778" s="6" t="s">
        <v>1281</v>
      </c>
      <c r="K778" s="6" t="n">
        <v>4</v>
      </c>
      <c r="L778" s="7" t="s">
        <v>1565</v>
      </c>
      <c r="M778" s="6" t="n">
        <v>33</v>
      </c>
      <c r="N778" s="7" t="s">
        <v>24</v>
      </c>
    </row>
    <row r="779" customFormat="false" ht="29.85" hidden="false" customHeight="false" outlineLevel="0" collapsed="false">
      <c r="A779" s="6" t="n">
        <v>778</v>
      </c>
      <c r="B779" s="7" t="s">
        <v>1276</v>
      </c>
      <c r="C779" s="7" t="s">
        <v>1562</v>
      </c>
      <c r="D779" s="8" t="s">
        <v>1618</v>
      </c>
      <c r="E779" s="7" t="s">
        <v>1571</v>
      </c>
      <c r="F779" s="6" t="s">
        <v>476</v>
      </c>
      <c r="G779" s="7" t="s">
        <v>43</v>
      </c>
      <c r="H779" s="7" t="s">
        <v>20</v>
      </c>
      <c r="I779" s="7" t="s">
        <v>105</v>
      </c>
      <c r="J779" s="6" t="s">
        <v>1281</v>
      </c>
      <c r="K779" s="6" t="n">
        <v>4</v>
      </c>
      <c r="L779" s="7" t="s">
        <v>1565</v>
      </c>
      <c r="M779" s="6" t="n">
        <v>34</v>
      </c>
      <c r="N779" s="7" t="s">
        <v>24</v>
      </c>
    </row>
    <row r="780" customFormat="false" ht="29.85" hidden="false" customHeight="false" outlineLevel="0" collapsed="false">
      <c r="A780" s="6" t="n">
        <v>779</v>
      </c>
      <c r="B780" s="7" t="s">
        <v>1276</v>
      </c>
      <c r="C780" s="7" t="s">
        <v>1562</v>
      </c>
      <c r="D780" s="8" t="s">
        <v>1619</v>
      </c>
      <c r="E780" s="7" t="s">
        <v>1612</v>
      </c>
      <c r="F780" s="6" t="s">
        <v>526</v>
      </c>
      <c r="G780" s="7" t="s">
        <v>43</v>
      </c>
      <c r="H780" s="7" t="s">
        <v>38</v>
      </c>
      <c r="I780" s="7" t="s">
        <v>163</v>
      </c>
      <c r="J780" s="6" t="s">
        <v>1281</v>
      </c>
      <c r="K780" s="6" t="n">
        <v>4</v>
      </c>
      <c r="L780" s="7" t="s">
        <v>1565</v>
      </c>
      <c r="M780" s="6" t="n">
        <v>35</v>
      </c>
      <c r="N780" s="7" t="s">
        <v>40</v>
      </c>
    </row>
    <row r="781" customFormat="false" ht="29.85" hidden="false" customHeight="false" outlineLevel="0" collapsed="false">
      <c r="A781" s="6" t="n">
        <v>780</v>
      </c>
      <c r="B781" s="7" t="s">
        <v>1276</v>
      </c>
      <c r="C781" s="7" t="s">
        <v>1562</v>
      </c>
      <c r="D781" s="8" t="s">
        <v>1620</v>
      </c>
      <c r="E781" s="7" t="s">
        <v>1567</v>
      </c>
      <c r="F781" s="6" t="s">
        <v>476</v>
      </c>
      <c r="G781" s="7" t="s">
        <v>43</v>
      </c>
      <c r="H781" s="7" t="s">
        <v>20</v>
      </c>
      <c r="I781" s="7" t="s">
        <v>150</v>
      </c>
      <c r="J781" s="6" t="s">
        <v>1281</v>
      </c>
      <c r="K781" s="6" t="n">
        <v>4</v>
      </c>
      <c r="L781" s="7" t="s">
        <v>1565</v>
      </c>
      <c r="M781" s="6" t="n">
        <v>36</v>
      </c>
      <c r="N781" s="7" t="s">
        <v>24</v>
      </c>
    </row>
    <row r="782" customFormat="false" ht="29.85" hidden="false" customHeight="false" outlineLevel="0" collapsed="false">
      <c r="A782" s="6" t="n">
        <v>781</v>
      </c>
      <c r="B782" s="7" t="s">
        <v>1276</v>
      </c>
      <c r="C782" s="7" t="s">
        <v>1562</v>
      </c>
      <c r="D782" s="8" t="s">
        <v>1621</v>
      </c>
      <c r="E782" s="7" t="s">
        <v>1604</v>
      </c>
      <c r="F782" s="6" t="s">
        <v>476</v>
      </c>
      <c r="G782" s="7" t="s">
        <v>43</v>
      </c>
      <c r="H782" s="7" t="s">
        <v>20</v>
      </c>
      <c r="I782" s="7" t="s">
        <v>150</v>
      </c>
      <c r="J782" s="6" t="s">
        <v>1281</v>
      </c>
      <c r="K782" s="6" t="n">
        <v>4</v>
      </c>
      <c r="L782" s="7" t="s">
        <v>1565</v>
      </c>
      <c r="M782" s="6" t="n">
        <v>37</v>
      </c>
      <c r="N782" s="7" t="s">
        <v>24</v>
      </c>
    </row>
    <row r="783" customFormat="false" ht="29.85" hidden="false" customHeight="false" outlineLevel="0" collapsed="false">
      <c r="A783" s="6" t="n">
        <v>782</v>
      </c>
      <c r="B783" s="7" t="s">
        <v>1276</v>
      </c>
      <c r="C783" s="7" t="s">
        <v>1562</v>
      </c>
      <c r="D783" s="8" t="s">
        <v>1622</v>
      </c>
      <c r="E783" s="7" t="s">
        <v>1623</v>
      </c>
      <c r="F783" s="6" t="s">
        <v>476</v>
      </c>
      <c r="G783" s="7" t="s">
        <v>43</v>
      </c>
      <c r="H783" s="7" t="s">
        <v>20</v>
      </c>
      <c r="I783" s="7" t="s">
        <v>51</v>
      </c>
      <c r="J783" s="6" t="s">
        <v>1281</v>
      </c>
      <c r="K783" s="6" t="n">
        <v>4</v>
      </c>
      <c r="L783" s="7" t="s">
        <v>1565</v>
      </c>
      <c r="M783" s="6" t="n">
        <v>38</v>
      </c>
      <c r="N783" s="7" t="s">
        <v>24</v>
      </c>
    </row>
    <row r="784" customFormat="false" ht="29.85" hidden="false" customHeight="false" outlineLevel="0" collapsed="false">
      <c r="A784" s="6" t="n">
        <v>783</v>
      </c>
      <c r="B784" s="7" t="s">
        <v>1276</v>
      </c>
      <c r="C784" s="7" t="s">
        <v>1562</v>
      </c>
      <c r="D784" s="8" t="s">
        <v>1624</v>
      </c>
      <c r="E784" s="7" t="s">
        <v>1569</v>
      </c>
      <c r="F784" s="6" t="s">
        <v>476</v>
      </c>
      <c r="G784" s="7" t="s">
        <v>43</v>
      </c>
      <c r="H784" s="7" t="s">
        <v>20</v>
      </c>
      <c r="I784" s="7" t="s">
        <v>289</v>
      </c>
      <c r="J784" s="6" t="s">
        <v>1281</v>
      </c>
      <c r="K784" s="6" t="n">
        <v>4</v>
      </c>
      <c r="L784" s="7" t="s">
        <v>1565</v>
      </c>
      <c r="M784" s="6" t="n">
        <v>39</v>
      </c>
      <c r="N784" s="7" t="s">
        <v>24</v>
      </c>
    </row>
    <row r="785" customFormat="false" ht="29.85" hidden="false" customHeight="false" outlineLevel="0" collapsed="false">
      <c r="A785" s="6" t="n">
        <v>784</v>
      </c>
      <c r="B785" s="7" t="s">
        <v>1276</v>
      </c>
      <c r="C785" s="7" t="s">
        <v>1562</v>
      </c>
      <c r="D785" s="8" t="s">
        <v>1625</v>
      </c>
      <c r="E785" s="7" t="s">
        <v>1609</v>
      </c>
      <c r="F785" s="6" t="s">
        <v>476</v>
      </c>
      <c r="G785" s="7" t="s">
        <v>43</v>
      </c>
      <c r="H785" s="7" t="s">
        <v>38</v>
      </c>
      <c r="I785" s="7" t="s">
        <v>163</v>
      </c>
      <c r="J785" s="6" t="s">
        <v>1281</v>
      </c>
      <c r="K785" s="6" t="n">
        <v>4</v>
      </c>
      <c r="L785" s="7" t="s">
        <v>1565</v>
      </c>
      <c r="M785" s="6" t="n">
        <v>40</v>
      </c>
      <c r="N785" s="7" t="s">
        <v>40</v>
      </c>
    </row>
    <row r="786" customFormat="false" ht="29.85" hidden="false" customHeight="false" outlineLevel="0" collapsed="false">
      <c r="A786" s="6" t="n">
        <v>785</v>
      </c>
      <c r="B786" s="7" t="s">
        <v>1276</v>
      </c>
      <c r="C786" s="7" t="s">
        <v>1562</v>
      </c>
      <c r="D786" s="8" t="s">
        <v>1626</v>
      </c>
      <c r="E786" s="7" t="s">
        <v>1609</v>
      </c>
      <c r="F786" s="6" t="s">
        <v>476</v>
      </c>
      <c r="G786" s="7" t="s">
        <v>43</v>
      </c>
      <c r="H786" s="7" t="s">
        <v>20</v>
      </c>
      <c r="I786" s="7" t="s">
        <v>158</v>
      </c>
      <c r="J786" s="6" t="s">
        <v>1281</v>
      </c>
      <c r="K786" s="6" t="n">
        <v>4</v>
      </c>
      <c r="L786" s="7" t="s">
        <v>1565</v>
      </c>
      <c r="M786" s="6" t="n">
        <v>41</v>
      </c>
      <c r="N786" s="7" t="s">
        <v>24</v>
      </c>
    </row>
    <row r="787" customFormat="false" ht="29.85" hidden="false" customHeight="false" outlineLevel="0" collapsed="false">
      <c r="A787" s="6" t="n">
        <v>786</v>
      </c>
      <c r="B787" s="7" t="s">
        <v>1276</v>
      </c>
      <c r="C787" s="7" t="s">
        <v>1562</v>
      </c>
      <c r="D787" s="8" t="s">
        <v>1627</v>
      </c>
      <c r="E787" s="7" t="s">
        <v>1628</v>
      </c>
      <c r="F787" s="6" t="s">
        <v>476</v>
      </c>
      <c r="G787" s="7" t="s">
        <v>43</v>
      </c>
      <c r="H787" s="7" t="s">
        <v>20</v>
      </c>
      <c r="I787" s="7" t="s">
        <v>158</v>
      </c>
      <c r="J787" s="6" t="s">
        <v>1281</v>
      </c>
      <c r="K787" s="6" t="n">
        <v>4</v>
      </c>
      <c r="L787" s="7" t="s">
        <v>1565</v>
      </c>
      <c r="M787" s="6" t="n">
        <v>42</v>
      </c>
      <c r="N787" s="7" t="s">
        <v>24</v>
      </c>
    </row>
    <row r="788" customFormat="false" ht="29.85" hidden="false" customHeight="false" outlineLevel="0" collapsed="false">
      <c r="A788" s="6" t="n">
        <v>787</v>
      </c>
      <c r="B788" s="7" t="s">
        <v>1276</v>
      </c>
      <c r="C788" s="7" t="s">
        <v>1562</v>
      </c>
      <c r="D788" s="8" t="s">
        <v>1629</v>
      </c>
      <c r="E788" s="7" t="s">
        <v>1583</v>
      </c>
      <c r="F788" s="6" t="s">
        <v>476</v>
      </c>
      <c r="G788" s="7" t="s">
        <v>43</v>
      </c>
      <c r="H788" s="7" t="s">
        <v>20</v>
      </c>
      <c r="I788" s="7" t="s">
        <v>203</v>
      </c>
      <c r="J788" s="6" t="s">
        <v>1281</v>
      </c>
      <c r="K788" s="6" t="n">
        <v>4</v>
      </c>
      <c r="L788" s="7" t="s">
        <v>1565</v>
      </c>
      <c r="M788" s="6" t="n">
        <v>43</v>
      </c>
      <c r="N788" s="7" t="s">
        <v>24</v>
      </c>
    </row>
    <row r="789" customFormat="false" ht="29.85" hidden="false" customHeight="false" outlineLevel="0" collapsed="false">
      <c r="A789" s="6" t="n">
        <v>788</v>
      </c>
      <c r="B789" s="7" t="s">
        <v>1276</v>
      </c>
      <c r="C789" s="7" t="s">
        <v>1562</v>
      </c>
      <c r="D789" s="8" t="s">
        <v>1630</v>
      </c>
      <c r="E789" s="7" t="s">
        <v>1562</v>
      </c>
      <c r="F789" s="6" t="s">
        <v>476</v>
      </c>
      <c r="G789" s="7" t="s">
        <v>43</v>
      </c>
      <c r="H789" s="7" t="s">
        <v>38</v>
      </c>
      <c r="I789" s="7" t="s">
        <v>318</v>
      </c>
      <c r="J789" s="6" t="s">
        <v>1281</v>
      </c>
      <c r="K789" s="6" t="n">
        <v>4</v>
      </c>
      <c r="L789" s="7" t="s">
        <v>1565</v>
      </c>
      <c r="M789" s="6" t="n">
        <v>44</v>
      </c>
      <c r="N789" s="7" t="s">
        <v>40</v>
      </c>
    </row>
    <row r="790" customFormat="false" ht="29.85" hidden="false" customHeight="false" outlineLevel="0" collapsed="false">
      <c r="A790" s="6" t="n">
        <v>789</v>
      </c>
      <c r="B790" s="7" t="s">
        <v>1276</v>
      </c>
      <c r="C790" s="7" t="s">
        <v>1562</v>
      </c>
      <c r="D790" s="8" t="s">
        <v>1631</v>
      </c>
      <c r="E790" s="7" t="s">
        <v>1578</v>
      </c>
      <c r="F790" s="6" t="s">
        <v>476</v>
      </c>
      <c r="G790" s="7" t="s">
        <v>43</v>
      </c>
      <c r="H790" s="7" t="s">
        <v>38</v>
      </c>
      <c r="I790" s="7" t="s">
        <v>640</v>
      </c>
      <c r="J790" s="6" t="s">
        <v>1281</v>
      </c>
      <c r="K790" s="6" t="n">
        <v>4</v>
      </c>
      <c r="L790" s="7" t="s">
        <v>1565</v>
      </c>
      <c r="M790" s="6" t="n">
        <v>45</v>
      </c>
      <c r="N790" s="7" t="s">
        <v>40</v>
      </c>
    </row>
    <row r="791" customFormat="false" ht="29.85" hidden="false" customHeight="false" outlineLevel="0" collapsed="false">
      <c r="A791" s="6" t="n">
        <v>790</v>
      </c>
      <c r="B791" s="7" t="s">
        <v>1276</v>
      </c>
      <c r="C791" s="7" t="s">
        <v>1562</v>
      </c>
      <c r="D791" s="8" t="s">
        <v>1632</v>
      </c>
      <c r="E791" s="7" t="s">
        <v>1609</v>
      </c>
      <c r="F791" s="6" t="s">
        <v>476</v>
      </c>
      <c r="G791" s="7" t="s">
        <v>43</v>
      </c>
      <c r="H791" s="7" t="s">
        <v>38</v>
      </c>
      <c r="I791" s="7" t="s">
        <v>640</v>
      </c>
      <c r="J791" s="6" t="s">
        <v>1281</v>
      </c>
      <c r="K791" s="6" t="n">
        <v>4</v>
      </c>
      <c r="L791" s="7" t="s">
        <v>1565</v>
      </c>
      <c r="M791" s="6" t="n">
        <v>46</v>
      </c>
      <c r="N791" s="7" t="s">
        <v>40</v>
      </c>
    </row>
    <row r="792" customFormat="false" ht="29.85" hidden="false" customHeight="false" outlineLevel="0" collapsed="false">
      <c r="A792" s="6" t="n">
        <v>791</v>
      </c>
      <c r="B792" s="7" t="s">
        <v>1276</v>
      </c>
      <c r="C792" s="7" t="s">
        <v>1562</v>
      </c>
      <c r="D792" s="8" t="s">
        <v>1633</v>
      </c>
      <c r="E792" s="7" t="s">
        <v>1634</v>
      </c>
      <c r="F792" s="6" t="s">
        <v>526</v>
      </c>
      <c r="G792" s="7" t="s">
        <v>43</v>
      </c>
      <c r="H792" s="7" t="s">
        <v>38</v>
      </c>
      <c r="I792" s="7" t="s">
        <v>470</v>
      </c>
      <c r="J792" s="6" t="s">
        <v>1281</v>
      </c>
      <c r="K792" s="6" t="n">
        <v>4</v>
      </c>
      <c r="L792" s="7" t="s">
        <v>1565</v>
      </c>
      <c r="M792" s="6" t="n">
        <v>47</v>
      </c>
      <c r="N792" s="7" t="s">
        <v>40</v>
      </c>
    </row>
    <row r="793" customFormat="false" ht="29.85" hidden="false" customHeight="false" outlineLevel="0" collapsed="false">
      <c r="A793" s="6" t="n">
        <v>792</v>
      </c>
      <c r="B793" s="7" t="s">
        <v>1276</v>
      </c>
      <c r="C793" s="7" t="s">
        <v>1562</v>
      </c>
      <c r="D793" s="8" t="s">
        <v>1635</v>
      </c>
      <c r="E793" s="7" t="s">
        <v>1583</v>
      </c>
      <c r="F793" s="6" t="s">
        <v>476</v>
      </c>
      <c r="G793" s="7" t="s">
        <v>43</v>
      </c>
      <c r="H793" s="7" t="s">
        <v>38</v>
      </c>
      <c r="I793" s="7" t="s">
        <v>55</v>
      </c>
      <c r="J793" s="6" t="s">
        <v>1281</v>
      </c>
      <c r="K793" s="6" t="n">
        <v>4</v>
      </c>
      <c r="L793" s="7" t="s">
        <v>1565</v>
      </c>
      <c r="M793" s="6" t="n">
        <v>48</v>
      </c>
      <c r="N793" s="7" t="s">
        <v>40</v>
      </c>
    </row>
    <row r="794" customFormat="false" ht="44" hidden="false" customHeight="false" outlineLevel="0" collapsed="false">
      <c r="A794" s="6" t="n">
        <v>793</v>
      </c>
      <c r="B794" s="7" t="s">
        <v>1276</v>
      </c>
      <c r="C794" s="7" t="s">
        <v>1562</v>
      </c>
      <c r="D794" s="8" t="s">
        <v>1636</v>
      </c>
      <c r="E794" s="7" t="s">
        <v>1571</v>
      </c>
      <c r="F794" s="6" t="s">
        <v>476</v>
      </c>
      <c r="G794" s="7" t="s">
        <v>43</v>
      </c>
      <c r="H794" s="7" t="s">
        <v>38</v>
      </c>
      <c r="I794" s="7" t="s">
        <v>910</v>
      </c>
      <c r="J794" s="6" t="s">
        <v>1281</v>
      </c>
      <c r="K794" s="6" t="n">
        <v>4</v>
      </c>
      <c r="L794" s="7" t="s">
        <v>1565</v>
      </c>
      <c r="M794" s="6" t="n">
        <v>49</v>
      </c>
      <c r="N794" s="7" t="s">
        <v>40</v>
      </c>
    </row>
    <row r="795" customFormat="false" ht="29.85" hidden="false" customHeight="false" outlineLevel="0" collapsed="false">
      <c r="A795" s="6" t="n">
        <v>794</v>
      </c>
      <c r="B795" s="7" t="s">
        <v>1276</v>
      </c>
      <c r="C795" s="7" t="s">
        <v>1562</v>
      </c>
      <c r="D795" s="8" t="s">
        <v>1637</v>
      </c>
      <c r="E795" s="7" t="s">
        <v>1604</v>
      </c>
      <c r="F795" s="6" t="s">
        <v>476</v>
      </c>
      <c r="G795" s="7" t="s">
        <v>43</v>
      </c>
      <c r="H795" s="7" t="s">
        <v>38</v>
      </c>
      <c r="I795" s="7" t="s">
        <v>1638</v>
      </c>
      <c r="J795" s="6" t="s">
        <v>1281</v>
      </c>
      <c r="K795" s="6" t="n">
        <v>4</v>
      </c>
      <c r="L795" s="7" t="s">
        <v>1565</v>
      </c>
      <c r="M795" s="6" t="n">
        <v>50</v>
      </c>
      <c r="N795" s="7" t="s">
        <v>40</v>
      </c>
    </row>
    <row r="796" customFormat="false" ht="41" hidden="false" customHeight="false" outlineLevel="0" collapsed="false">
      <c r="A796" s="6" t="n">
        <v>795</v>
      </c>
      <c r="B796" s="7" t="s">
        <v>1276</v>
      </c>
      <c r="C796" s="7" t="s">
        <v>1562</v>
      </c>
      <c r="D796" s="8" t="s">
        <v>1639</v>
      </c>
      <c r="E796" s="7" t="s">
        <v>1578</v>
      </c>
      <c r="F796" s="6" t="s">
        <v>476</v>
      </c>
      <c r="G796" s="7" t="s">
        <v>43</v>
      </c>
      <c r="H796" s="7" t="s">
        <v>38</v>
      </c>
      <c r="I796" s="7" t="s">
        <v>57</v>
      </c>
      <c r="J796" s="6" t="s">
        <v>1281</v>
      </c>
      <c r="K796" s="6" t="n">
        <v>4</v>
      </c>
      <c r="L796" s="7" t="s">
        <v>1565</v>
      </c>
      <c r="M796" s="6" t="n">
        <v>51</v>
      </c>
      <c r="N796" s="7" t="s">
        <v>40</v>
      </c>
    </row>
    <row r="797" customFormat="false" ht="44" hidden="false" customHeight="false" outlineLevel="0" collapsed="false">
      <c r="A797" s="6" t="n">
        <v>796</v>
      </c>
      <c r="B797" s="7" t="s">
        <v>1276</v>
      </c>
      <c r="C797" s="7" t="s">
        <v>1562</v>
      </c>
      <c r="D797" s="8" t="s">
        <v>1640</v>
      </c>
      <c r="E797" s="7" t="s">
        <v>1562</v>
      </c>
      <c r="F797" s="6" t="s">
        <v>476</v>
      </c>
      <c r="G797" s="7" t="s">
        <v>43</v>
      </c>
      <c r="H797" s="7" t="s">
        <v>38</v>
      </c>
      <c r="I797" s="7" t="s">
        <v>1641</v>
      </c>
      <c r="J797" s="6" t="s">
        <v>1281</v>
      </c>
      <c r="K797" s="6" t="n">
        <v>4</v>
      </c>
      <c r="L797" s="7" t="s">
        <v>1565</v>
      </c>
      <c r="M797" s="6" t="n">
        <v>52</v>
      </c>
      <c r="N797" s="7" t="s">
        <v>40</v>
      </c>
    </row>
    <row r="798" customFormat="false" ht="44" hidden="false" customHeight="false" outlineLevel="0" collapsed="false">
      <c r="A798" s="6" t="n">
        <v>797</v>
      </c>
      <c r="B798" s="7" t="s">
        <v>1276</v>
      </c>
      <c r="C798" s="7" t="s">
        <v>1562</v>
      </c>
      <c r="D798" s="8" t="s">
        <v>1642</v>
      </c>
      <c r="E798" s="7" t="s">
        <v>1612</v>
      </c>
      <c r="F798" s="6" t="s">
        <v>526</v>
      </c>
      <c r="G798" s="7" t="s">
        <v>43</v>
      </c>
      <c r="H798" s="7" t="s">
        <v>38</v>
      </c>
      <c r="I798" s="7" t="s">
        <v>1641</v>
      </c>
      <c r="J798" s="6" t="s">
        <v>1281</v>
      </c>
      <c r="K798" s="6" t="n">
        <v>4</v>
      </c>
      <c r="L798" s="7" t="s">
        <v>1565</v>
      </c>
      <c r="M798" s="6" t="n">
        <v>53</v>
      </c>
      <c r="N798" s="7" t="s">
        <v>40</v>
      </c>
    </row>
    <row r="799" customFormat="false" ht="44" hidden="false" customHeight="false" outlineLevel="0" collapsed="false">
      <c r="A799" s="6" t="n">
        <v>798</v>
      </c>
      <c r="B799" s="7" t="s">
        <v>1276</v>
      </c>
      <c r="C799" s="7" t="s">
        <v>1562</v>
      </c>
      <c r="D799" s="8" t="s">
        <v>1643</v>
      </c>
      <c r="E799" s="7" t="s">
        <v>1587</v>
      </c>
      <c r="F799" s="6" t="s">
        <v>476</v>
      </c>
      <c r="G799" s="7" t="s">
        <v>43</v>
      </c>
      <c r="H799" s="7" t="s">
        <v>38</v>
      </c>
      <c r="I799" s="7" t="s">
        <v>1644</v>
      </c>
      <c r="J799" s="6" t="s">
        <v>1281</v>
      </c>
      <c r="K799" s="6" t="n">
        <v>4</v>
      </c>
      <c r="L799" s="7" t="s">
        <v>1565</v>
      </c>
      <c r="M799" s="6" t="n">
        <v>54</v>
      </c>
      <c r="N799" s="7" t="s">
        <v>40</v>
      </c>
    </row>
    <row r="800" customFormat="false" ht="44" hidden="false" customHeight="false" outlineLevel="0" collapsed="false">
      <c r="A800" s="6" t="n">
        <v>799</v>
      </c>
      <c r="B800" s="7" t="s">
        <v>1276</v>
      </c>
      <c r="C800" s="7" t="s">
        <v>1562</v>
      </c>
      <c r="D800" s="8" t="s">
        <v>1645</v>
      </c>
      <c r="E800" s="7" t="s">
        <v>1646</v>
      </c>
      <c r="F800" s="6" t="s">
        <v>476</v>
      </c>
      <c r="G800" s="7" t="s">
        <v>43</v>
      </c>
      <c r="H800" s="7" t="s">
        <v>38</v>
      </c>
      <c r="I800" s="7" t="s">
        <v>1242</v>
      </c>
      <c r="J800" s="6" t="s">
        <v>1281</v>
      </c>
      <c r="K800" s="6" t="n">
        <v>4</v>
      </c>
      <c r="L800" s="7" t="s">
        <v>1565</v>
      </c>
      <c r="M800" s="6" t="n">
        <v>55</v>
      </c>
      <c r="N800" s="7" t="s">
        <v>40</v>
      </c>
    </row>
    <row r="801" customFormat="false" ht="44" hidden="false" customHeight="false" outlineLevel="0" collapsed="false">
      <c r="A801" s="6" t="n">
        <v>800</v>
      </c>
      <c r="B801" s="7" t="s">
        <v>1276</v>
      </c>
      <c r="C801" s="7" t="s">
        <v>1562</v>
      </c>
      <c r="D801" s="8" t="s">
        <v>1647</v>
      </c>
      <c r="E801" s="7" t="s">
        <v>1648</v>
      </c>
      <c r="F801" s="6" t="s">
        <v>476</v>
      </c>
      <c r="G801" s="7" t="s">
        <v>43</v>
      </c>
      <c r="H801" s="7" t="s">
        <v>38</v>
      </c>
      <c r="I801" s="7" t="s">
        <v>1526</v>
      </c>
      <c r="J801" s="6" t="s">
        <v>1281</v>
      </c>
      <c r="K801" s="6" t="n">
        <v>4</v>
      </c>
      <c r="L801" s="7" t="s">
        <v>1565</v>
      </c>
      <c r="M801" s="6" t="n">
        <v>56</v>
      </c>
      <c r="N801" s="7" t="s">
        <v>40</v>
      </c>
    </row>
    <row r="802" customFormat="false" ht="58.2" hidden="false" customHeight="false" outlineLevel="0" collapsed="false">
      <c r="A802" s="6" t="n">
        <v>801</v>
      </c>
      <c r="B802" s="7" t="s">
        <v>1276</v>
      </c>
      <c r="C802" s="7" t="s">
        <v>1562</v>
      </c>
      <c r="D802" s="8" t="s">
        <v>1649</v>
      </c>
      <c r="E802" s="7" t="s">
        <v>1585</v>
      </c>
      <c r="F802" s="6" t="s">
        <v>476</v>
      </c>
      <c r="G802" s="7" t="s">
        <v>43</v>
      </c>
      <c r="H802" s="7" t="s">
        <v>38</v>
      </c>
      <c r="I802" s="7" t="s">
        <v>1650</v>
      </c>
      <c r="J802" s="6" t="s">
        <v>1281</v>
      </c>
      <c r="K802" s="6" t="n">
        <v>4</v>
      </c>
      <c r="L802" s="7" t="s">
        <v>1565</v>
      </c>
      <c r="M802" s="6" t="n">
        <v>57</v>
      </c>
      <c r="N802" s="7" t="s">
        <v>40</v>
      </c>
    </row>
    <row r="803" customFormat="false" ht="15" hidden="false" customHeight="false" outlineLevel="0" collapsed="false">
      <c r="A803" s="6" t="n">
        <v>802</v>
      </c>
      <c r="B803" s="7" t="s">
        <v>1276</v>
      </c>
      <c r="C803" s="7" t="s">
        <v>1651</v>
      </c>
      <c r="D803" s="8" t="s">
        <v>1652</v>
      </c>
      <c r="E803" s="7" t="s">
        <v>1653</v>
      </c>
      <c r="F803" s="6" t="s">
        <v>476</v>
      </c>
      <c r="G803" s="7" t="s">
        <v>43</v>
      </c>
      <c r="H803" s="7" t="s">
        <v>20</v>
      </c>
      <c r="I803" s="7" t="s">
        <v>757</v>
      </c>
      <c r="J803" s="6" t="s">
        <v>1281</v>
      </c>
      <c r="K803" s="6" t="n">
        <v>5</v>
      </c>
      <c r="L803" s="7" t="s">
        <v>1654</v>
      </c>
      <c r="M803" s="6" t="n">
        <v>1</v>
      </c>
      <c r="N803" s="7" t="s">
        <v>24</v>
      </c>
    </row>
    <row r="804" customFormat="false" ht="15" hidden="false" customHeight="false" outlineLevel="0" collapsed="false">
      <c r="A804" s="6" t="n">
        <v>803</v>
      </c>
      <c r="B804" s="7" t="s">
        <v>1276</v>
      </c>
      <c r="C804" s="7" t="s">
        <v>1651</v>
      </c>
      <c r="D804" s="8" t="s">
        <v>1655</v>
      </c>
      <c r="E804" s="7" t="s">
        <v>1656</v>
      </c>
      <c r="F804" s="6" t="s">
        <v>476</v>
      </c>
      <c r="G804" s="7" t="s">
        <v>43</v>
      </c>
      <c r="H804" s="7" t="s">
        <v>20</v>
      </c>
      <c r="I804" s="7" t="s">
        <v>327</v>
      </c>
      <c r="J804" s="6" t="s">
        <v>1281</v>
      </c>
      <c r="K804" s="6" t="n">
        <v>5</v>
      </c>
      <c r="L804" s="7" t="s">
        <v>1654</v>
      </c>
      <c r="M804" s="6" t="n">
        <v>2</v>
      </c>
      <c r="N804" s="7" t="s">
        <v>24</v>
      </c>
    </row>
    <row r="805" customFormat="false" ht="15" hidden="false" customHeight="false" outlineLevel="0" collapsed="false">
      <c r="A805" s="6" t="n">
        <v>804</v>
      </c>
      <c r="B805" s="7" t="s">
        <v>1276</v>
      </c>
      <c r="C805" s="7" t="s">
        <v>1651</v>
      </c>
      <c r="D805" s="8" t="s">
        <v>1657</v>
      </c>
      <c r="E805" s="7" t="s">
        <v>1658</v>
      </c>
      <c r="F805" s="6" t="s">
        <v>476</v>
      </c>
      <c r="G805" s="7" t="s">
        <v>43</v>
      </c>
      <c r="H805" s="7" t="s">
        <v>20</v>
      </c>
      <c r="I805" s="7" t="s">
        <v>595</v>
      </c>
      <c r="J805" s="6" t="s">
        <v>1281</v>
      </c>
      <c r="K805" s="6" t="n">
        <v>5</v>
      </c>
      <c r="L805" s="7" t="s">
        <v>1654</v>
      </c>
      <c r="M805" s="6" t="n">
        <v>3</v>
      </c>
      <c r="N805" s="7" t="s">
        <v>24</v>
      </c>
    </row>
    <row r="806" customFormat="false" ht="15" hidden="false" customHeight="false" outlineLevel="0" collapsed="false">
      <c r="A806" s="6" t="n">
        <v>805</v>
      </c>
      <c r="B806" s="7" t="s">
        <v>1276</v>
      </c>
      <c r="C806" s="7" t="s">
        <v>1651</v>
      </c>
      <c r="D806" s="8" t="s">
        <v>1659</v>
      </c>
      <c r="E806" s="7" t="s">
        <v>1660</v>
      </c>
      <c r="F806" s="6" t="s">
        <v>476</v>
      </c>
      <c r="G806" s="7" t="s">
        <v>43</v>
      </c>
      <c r="H806" s="7" t="s">
        <v>20</v>
      </c>
      <c r="I806" s="7" t="s">
        <v>595</v>
      </c>
      <c r="J806" s="6" t="s">
        <v>1281</v>
      </c>
      <c r="K806" s="6" t="n">
        <v>5</v>
      </c>
      <c r="L806" s="7" t="s">
        <v>1654</v>
      </c>
      <c r="M806" s="6" t="n">
        <v>4</v>
      </c>
      <c r="N806" s="7" t="s">
        <v>24</v>
      </c>
    </row>
    <row r="807" customFormat="false" ht="15" hidden="false" customHeight="false" outlineLevel="0" collapsed="false">
      <c r="A807" s="6" t="n">
        <v>806</v>
      </c>
      <c r="B807" s="7" t="s">
        <v>1276</v>
      </c>
      <c r="C807" s="7" t="s">
        <v>1651</v>
      </c>
      <c r="D807" s="8" t="s">
        <v>1661</v>
      </c>
      <c r="E807" s="7" t="s">
        <v>1662</v>
      </c>
      <c r="F807" s="6" t="s">
        <v>37</v>
      </c>
      <c r="G807" s="7" t="s">
        <v>27</v>
      </c>
      <c r="H807" s="7" t="s">
        <v>38</v>
      </c>
      <c r="I807" s="7" t="s">
        <v>1663</v>
      </c>
      <c r="J807" s="6" t="s">
        <v>1281</v>
      </c>
      <c r="K807" s="6" t="n">
        <v>5</v>
      </c>
      <c r="L807" s="7" t="s">
        <v>1654</v>
      </c>
      <c r="M807" s="6" t="n">
        <v>5</v>
      </c>
      <c r="N807" s="7" t="s">
        <v>40</v>
      </c>
    </row>
    <row r="808" customFormat="false" ht="15" hidden="false" customHeight="false" outlineLevel="0" collapsed="false">
      <c r="A808" s="6" t="n">
        <v>807</v>
      </c>
      <c r="B808" s="7" t="s">
        <v>1276</v>
      </c>
      <c r="C808" s="7" t="s">
        <v>1651</v>
      </c>
      <c r="D808" s="8" t="s">
        <v>1664</v>
      </c>
      <c r="E808" s="7" t="s">
        <v>1656</v>
      </c>
      <c r="F808" s="6" t="s">
        <v>476</v>
      </c>
      <c r="G808" s="7" t="s">
        <v>43</v>
      </c>
      <c r="H808" s="7" t="s">
        <v>20</v>
      </c>
      <c r="I808" s="7" t="s">
        <v>135</v>
      </c>
      <c r="J808" s="6" t="s">
        <v>1281</v>
      </c>
      <c r="K808" s="6" t="n">
        <v>5</v>
      </c>
      <c r="L808" s="7" t="s">
        <v>1654</v>
      </c>
      <c r="M808" s="6" t="n">
        <v>6</v>
      </c>
      <c r="N808" s="7" t="s">
        <v>24</v>
      </c>
    </row>
    <row r="809" customFormat="false" ht="15" hidden="false" customHeight="false" outlineLevel="0" collapsed="false">
      <c r="A809" s="6" t="n">
        <v>808</v>
      </c>
      <c r="B809" s="7" t="s">
        <v>1276</v>
      </c>
      <c r="C809" s="7" t="s">
        <v>1651</v>
      </c>
      <c r="D809" s="8" t="s">
        <v>1665</v>
      </c>
      <c r="E809" s="7" t="s">
        <v>1660</v>
      </c>
      <c r="F809" s="6" t="s">
        <v>476</v>
      </c>
      <c r="G809" s="7" t="s">
        <v>43</v>
      </c>
      <c r="H809" s="7" t="s">
        <v>20</v>
      </c>
      <c r="I809" s="7" t="s">
        <v>135</v>
      </c>
      <c r="J809" s="6" t="s">
        <v>1281</v>
      </c>
      <c r="K809" s="6" t="n">
        <v>5</v>
      </c>
      <c r="L809" s="7" t="s">
        <v>1654</v>
      </c>
      <c r="M809" s="6" t="n">
        <v>7</v>
      </c>
      <c r="N809" s="7" t="s">
        <v>24</v>
      </c>
    </row>
    <row r="810" customFormat="false" ht="15" hidden="false" customHeight="false" outlineLevel="0" collapsed="false">
      <c r="A810" s="6" t="n">
        <v>809</v>
      </c>
      <c r="B810" s="7" t="s">
        <v>1276</v>
      </c>
      <c r="C810" s="7" t="s">
        <v>1651</v>
      </c>
      <c r="D810" s="8" t="s">
        <v>1666</v>
      </c>
      <c r="E810" s="7" t="s">
        <v>1667</v>
      </c>
      <c r="F810" s="6" t="s">
        <v>476</v>
      </c>
      <c r="G810" s="7" t="s">
        <v>43</v>
      </c>
      <c r="H810" s="7" t="s">
        <v>20</v>
      </c>
      <c r="I810" s="7" t="s">
        <v>935</v>
      </c>
      <c r="J810" s="6" t="s">
        <v>1281</v>
      </c>
      <c r="K810" s="6" t="n">
        <v>5</v>
      </c>
      <c r="L810" s="7" t="s">
        <v>1654</v>
      </c>
      <c r="M810" s="6" t="n">
        <v>8</v>
      </c>
      <c r="N810" s="7" t="s">
        <v>24</v>
      </c>
    </row>
    <row r="811" customFormat="false" ht="15" hidden="false" customHeight="false" outlineLevel="0" collapsed="false">
      <c r="A811" s="6" t="n">
        <v>810</v>
      </c>
      <c r="B811" s="7" t="s">
        <v>1276</v>
      </c>
      <c r="C811" s="7" t="s">
        <v>1651</v>
      </c>
      <c r="D811" s="8" t="s">
        <v>1668</v>
      </c>
      <c r="E811" s="7" t="s">
        <v>1669</v>
      </c>
      <c r="F811" s="6" t="s">
        <v>476</v>
      </c>
      <c r="G811" s="7" t="s">
        <v>43</v>
      </c>
      <c r="H811" s="7" t="s">
        <v>20</v>
      </c>
      <c r="I811" s="7" t="s">
        <v>1320</v>
      </c>
      <c r="J811" s="6" t="s">
        <v>1281</v>
      </c>
      <c r="K811" s="6" t="n">
        <v>5</v>
      </c>
      <c r="L811" s="7" t="s">
        <v>1654</v>
      </c>
      <c r="M811" s="6" t="n">
        <v>9</v>
      </c>
      <c r="N811" s="7" t="s">
        <v>24</v>
      </c>
    </row>
    <row r="812" customFormat="false" ht="15" hidden="false" customHeight="false" outlineLevel="0" collapsed="false">
      <c r="A812" s="6" t="n">
        <v>811</v>
      </c>
      <c r="B812" s="7" t="s">
        <v>1276</v>
      </c>
      <c r="C812" s="7" t="s">
        <v>1651</v>
      </c>
      <c r="D812" s="9" t="s">
        <v>1670</v>
      </c>
      <c r="E812" s="7" t="s">
        <v>1671</v>
      </c>
      <c r="F812" s="6" t="s">
        <v>37</v>
      </c>
      <c r="G812" s="7" t="s">
        <v>27</v>
      </c>
      <c r="H812" s="7" t="s">
        <v>38</v>
      </c>
      <c r="I812" s="7" t="s">
        <v>1313</v>
      </c>
      <c r="J812" s="6" t="s">
        <v>1281</v>
      </c>
      <c r="K812" s="6" t="n">
        <v>5</v>
      </c>
      <c r="L812" s="7" t="s">
        <v>1654</v>
      </c>
      <c r="M812" s="6" t="n">
        <v>10</v>
      </c>
      <c r="N812" s="7" t="s">
        <v>40</v>
      </c>
    </row>
    <row r="813" customFormat="false" ht="15" hidden="false" customHeight="false" outlineLevel="0" collapsed="false">
      <c r="A813" s="6" t="n">
        <v>812</v>
      </c>
      <c r="B813" s="7" t="s">
        <v>1276</v>
      </c>
      <c r="C813" s="7" t="s">
        <v>1651</v>
      </c>
      <c r="D813" s="8" t="s">
        <v>1672</v>
      </c>
      <c r="E813" s="7" t="s">
        <v>1673</v>
      </c>
      <c r="F813" s="6" t="s">
        <v>476</v>
      </c>
      <c r="G813" s="7" t="s">
        <v>43</v>
      </c>
      <c r="H813" s="7" t="s">
        <v>20</v>
      </c>
      <c r="I813" s="7" t="s">
        <v>183</v>
      </c>
      <c r="J813" s="6" t="s">
        <v>1281</v>
      </c>
      <c r="K813" s="6" t="n">
        <v>5</v>
      </c>
      <c r="L813" s="7" t="s">
        <v>1654</v>
      </c>
      <c r="M813" s="6" t="n">
        <v>11</v>
      </c>
      <c r="N813" s="7" t="s">
        <v>24</v>
      </c>
    </row>
    <row r="814" customFormat="false" ht="29.85" hidden="false" customHeight="false" outlineLevel="0" collapsed="false">
      <c r="A814" s="6" t="n">
        <v>813</v>
      </c>
      <c r="B814" s="7" t="s">
        <v>1276</v>
      </c>
      <c r="C814" s="7" t="s">
        <v>1651</v>
      </c>
      <c r="D814" s="8" t="s">
        <v>1674</v>
      </c>
      <c r="E814" s="7" t="s">
        <v>1656</v>
      </c>
      <c r="F814" s="6" t="s">
        <v>476</v>
      </c>
      <c r="G814" s="7" t="s">
        <v>43</v>
      </c>
      <c r="H814" s="7" t="s">
        <v>20</v>
      </c>
      <c r="I814" s="7" t="s">
        <v>243</v>
      </c>
      <c r="J814" s="6" t="s">
        <v>1281</v>
      </c>
      <c r="K814" s="6" t="n">
        <v>5</v>
      </c>
      <c r="L814" s="7" t="s">
        <v>1654</v>
      </c>
      <c r="M814" s="6" t="n">
        <v>12</v>
      </c>
      <c r="N814" s="7" t="s">
        <v>24</v>
      </c>
    </row>
    <row r="815" customFormat="false" ht="29.85" hidden="false" customHeight="false" outlineLevel="0" collapsed="false">
      <c r="A815" s="6" t="n">
        <v>814</v>
      </c>
      <c r="B815" s="7" t="s">
        <v>1276</v>
      </c>
      <c r="C815" s="7" t="s">
        <v>1651</v>
      </c>
      <c r="D815" s="8" t="s">
        <v>1675</v>
      </c>
      <c r="E815" s="7" t="s">
        <v>1676</v>
      </c>
      <c r="F815" s="6" t="s">
        <v>476</v>
      </c>
      <c r="G815" s="7" t="s">
        <v>43</v>
      </c>
      <c r="H815" s="7" t="s">
        <v>20</v>
      </c>
      <c r="I815" s="7" t="s">
        <v>192</v>
      </c>
      <c r="J815" s="6" t="s">
        <v>1281</v>
      </c>
      <c r="K815" s="6" t="n">
        <v>5</v>
      </c>
      <c r="L815" s="7" t="s">
        <v>1654</v>
      </c>
      <c r="M815" s="6" t="n">
        <v>13</v>
      </c>
      <c r="N815" s="7" t="s">
        <v>24</v>
      </c>
    </row>
    <row r="816" customFormat="false" ht="29.85" hidden="false" customHeight="false" outlineLevel="0" collapsed="false">
      <c r="A816" s="6" t="n">
        <v>815</v>
      </c>
      <c r="B816" s="7" t="s">
        <v>1276</v>
      </c>
      <c r="C816" s="7" t="s">
        <v>1651</v>
      </c>
      <c r="D816" s="8" t="s">
        <v>1677</v>
      </c>
      <c r="E816" s="7" t="s">
        <v>1678</v>
      </c>
      <c r="F816" s="6" t="s">
        <v>476</v>
      </c>
      <c r="G816" s="7" t="s">
        <v>43</v>
      </c>
      <c r="H816" s="7" t="s">
        <v>20</v>
      </c>
      <c r="I816" s="7" t="s">
        <v>254</v>
      </c>
      <c r="J816" s="6" t="s">
        <v>1281</v>
      </c>
      <c r="K816" s="6" t="n">
        <v>5</v>
      </c>
      <c r="L816" s="7" t="s">
        <v>1654</v>
      </c>
      <c r="M816" s="6" t="n">
        <v>14</v>
      </c>
      <c r="N816" s="7" t="s">
        <v>24</v>
      </c>
    </row>
    <row r="817" customFormat="false" ht="15" hidden="false" customHeight="false" outlineLevel="0" collapsed="false">
      <c r="A817" s="6" t="n">
        <v>816</v>
      </c>
      <c r="B817" s="7" t="s">
        <v>1276</v>
      </c>
      <c r="C817" s="7" t="s">
        <v>1651</v>
      </c>
      <c r="D817" s="8" t="s">
        <v>1679</v>
      </c>
      <c r="E817" s="6" t="s">
        <v>1680</v>
      </c>
      <c r="F817" s="6" t="s">
        <v>37</v>
      </c>
      <c r="G817" s="7" t="s">
        <v>27</v>
      </c>
      <c r="H817" s="7" t="s">
        <v>38</v>
      </c>
      <c r="I817" s="7" t="s">
        <v>1152</v>
      </c>
      <c r="J817" s="6" t="s">
        <v>1281</v>
      </c>
      <c r="K817" s="6" t="n">
        <v>5</v>
      </c>
      <c r="L817" s="7" t="s">
        <v>1654</v>
      </c>
      <c r="M817" s="6" t="n">
        <v>15</v>
      </c>
      <c r="N817" s="7" t="s">
        <v>40</v>
      </c>
    </row>
    <row r="818" customFormat="false" ht="29.85" hidden="false" customHeight="false" outlineLevel="0" collapsed="false">
      <c r="A818" s="6" t="n">
        <v>817</v>
      </c>
      <c r="B818" s="7" t="s">
        <v>1276</v>
      </c>
      <c r="C818" s="7" t="s">
        <v>1651</v>
      </c>
      <c r="D818" s="9" t="s">
        <v>1681</v>
      </c>
      <c r="E818" s="7" t="s">
        <v>1660</v>
      </c>
      <c r="F818" s="6" t="s">
        <v>476</v>
      </c>
      <c r="G818" s="7" t="s">
        <v>43</v>
      </c>
      <c r="H818" s="7" t="s">
        <v>20</v>
      </c>
      <c r="I818" s="7" t="s">
        <v>76</v>
      </c>
      <c r="J818" s="6" t="s">
        <v>1281</v>
      </c>
      <c r="K818" s="6" t="n">
        <v>5</v>
      </c>
      <c r="L818" s="7" t="s">
        <v>1654</v>
      </c>
      <c r="M818" s="6" t="n">
        <v>16</v>
      </c>
      <c r="N818" s="7" t="s">
        <v>24</v>
      </c>
    </row>
    <row r="819" customFormat="false" ht="29.85" hidden="false" customHeight="false" outlineLevel="0" collapsed="false">
      <c r="A819" s="6" t="n">
        <v>818</v>
      </c>
      <c r="B819" s="7" t="s">
        <v>1276</v>
      </c>
      <c r="C819" s="7" t="s">
        <v>1651</v>
      </c>
      <c r="D819" s="8" t="s">
        <v>1682</v>
      </c>
      <c r="E819" s="7" t="s">
        <v>1678</v>
      </c>
      <c r="F819" s="6" t="s">
        <v>476</v>
      </c>
      <c r="G819" s="7" t="s">
        <v>43</v>
      </c>
      <c r="H819" s="7" t="s">
        <v>20</v>
      </c>
      <c r="I819" s="7" t="s">
        <v>76</v>
      </c>
      <c r="J819" s="6" t="s">
        <v>1281</v>
      </c>
      <c r="K819" s="6" t="n">
        <v>5</v>
      </c>
      <c r="L819" s="7" t="s">
        <v>1654</v>
      </c>
      <c r="M819" s="6" t="n">
        <v>17</v>
      </c>
      <c r="N819" s="7" t="s">
        <v>24</v>
      </c>
    </row>
    <row r="820" customFormat="false" ht="29.85" hidden="false" customHeight="false" outlineLevel="0" collapsed="false">
      <c r="A820" s="6" t="n">
        <v>819</v>
      </c>
      <c r="B820" s="7" t="s">
        <v>1276</v>
      </c>
      <c r="C820" s="7" t="s">
        <v>1651</v>
      </c>
      <c r="D820" s="8" t="s">
        <v>1683</v>
      </c>
      <c r="E820" s="7" t="s">
        <v>1678</v>
      </c>
      <c r="F820" s="6" t="s">
        <v>476</v>
      </c>
      <c r="G820" s="7" t="s">
        <v>43</v>
      </c>
      <c r="H820" s="7" t="s">
        <v>20</v>
      </c>
      <c r="I820" s="7" t="s">
        <v>85</v>
      </c>
      <c r="J820" s="6" t="s">
        <v>1281</v>
      </c>
      <c r="K820" s="6" t="n">
        <v>5</v>
      </c>
      <c r="L820" s="7" t="s">
        <v>1654</v>
      </c>
      <c r="M820" s="6" t="n">
        <v>18</v>
      </c>
      <c r="N820" s="7" t="s">
        <v>24</v>
      </c>
    </row>
    <row r="821" customFormat="false" ht="29.85" hidden="false" customHeight="false" outlineLevel="0" collapsed="false">
      <c r="A821" s="6" t="n">
        <v>820</v>
      </c>
      <c r="B821" s="7" t="s">
        <v>1276</v>
      </c>
      <c r="C821" s="7" t="s">
        <v>1651</v>
      </c>
      <c r="D821" s="8" t="s">
        <v>1684</v>
      </c>
      <c r="E821" s="7" t="s">
        <v>1676</v>
      </c>
      <c r="F821" s="6" t="s">
        <v>476</v>
      </c>
      <c r="G821" s="7" t="s">
        <v>43</v>
      </c>
      <c r="H821" s="7" t="s">
        <v>20</v>
      </c>
      <c r="I821" s="7" t="s">
        <v>457</v>
      </c>
      <c r="J821" s="6" t="s">
        <v>1281</v>
      </c>
      <c r="K821" s="6" t="n">
        <v>5</v>
      </c>
      <c r="L821" s="7" t="s">
        <v>1654</v>
      </c>
      <c r="M821" s="6" t="n">
        <v>19</v>
      </c>
      <c r="N821" s="7" t="s">
        <v>24</v>
      </c>
    </row>
    <row r="822" customFormat="false" ht="15" hidden="false" customHeight="false" outlineLevel="0" collapsed="false">
      <c r="A822" s="6" t="n">
        <v>821</v>
      </c>
      <c r="B822" s="7" t="s">
        <v>1276</v>
      </c>
      <c r="C822" s="7" t="s">
        <v>1651</v>
      </c>
      <c r="D822" s="8" t="s">
        <v>1685</v>
      </c>
      <c r="E822" s="8" t="s">
        <v>1686</v>
      </c>
      <c r="F822" s="6" t="s">
        <v>37</v>
      </c>
      <c r="G822" s="7" t="s">
        <v>27</v>
      </c>
      <c r="H822" s="7" t="s">
        <v>38</v>
      </c>
      <c r="I822" s="7" t="s">
        <v>1348</v>
      </c>
      <c r="J822" s="6" t="s">
        <v>1281</v>
      </c>
      <c r="K822" s="6" t="n">
        <v>5</v>
      </c>
      <c r="L822" s="7" t="s">
        <v>1654</v>
      </c>
      <c r="M822" s="6" t="n">
        <v>20</v>
      </c>
      <c r="N822" s="7" t="s">
        <v>40</v>
      </c>
    </row>
    <row r="823" customFormat="false" ht="29.85" hidden="false" customHeight="false" outlineLevel="0" collapsed="false">
      <c r="A823" s="6" t="n">
        <v>822</v>
      </c>
      <c r="B823" s="7" t="s">
        <v>1276</v>
      </c>
      <c r="C823" s="7" t="s">
        <v>1651</v>
      </c>
      <c r="D823" s="8" t="s">
        <v>1687</v>
      </c>
      <c r="E823" s="7" t="s">
        <v>1688</v>
      </c>
      <c r="F823" s="6" t="s">
        <v>476</v>
      </c>
      <c r="G823" s="7" t="s">
        <v>43</v>
      </c>
      <c r="H823" s="7" t="s">
        <v>20</v>
      </c>
      <c r="I823" s="7" t="s">
        <v>457</v>
      </c>
      <c r="J823" s="6" t="s">
        <v>1281</v>
      </c>
      <c r="K823" s="6" t="n">
        <v>5</v>
      </c>
      <c r="L823" s="7" t="s">
        <v>1654</v>
      </c>
      <c r="M823" s="6" t="n">
        <v>21</v>
      </c>
      <c r="N823" s="7" t="s">
        <v>24</v>
      </c>
    </row>
    <row r="824" customFormat="false" ht="29.85" hidden="false" customHeight="false" outlineLevel="0" collapsed="false">
      <c r="A824" s="6" t="n">
        <v>823</v>
      </c>
      <c r="B824" s="7" t="s">
        <v>1276</v>
      </c>
      <c r="C824" s="7" t="s">
        <v>1651</v>
      </c>
      <c r="D824" s="8" t="s">
        <v>1689</v>
      </c>
      <c r="E824" s="7" t="s">
        <v>1690</v>
      </c>
      <c r="F824" s="6" t="s">
        <v>476</v>
      </c>
      <c r="G824" s="7" t="s">
        <v>43</v>
      </c>
      <c r="H824" s="7" t="s">
        <v>20</v>
      </c>
      <c r="I824" s="7" t="s">
        <v>98</v>
      </c>
      <c r="J824" s="6" t="s">
        <v>1281</v>
      </c>
      <c r="K824" s="6" t="n">
        <v>5</v>
      </c>
      <c r="L824" s="7" t="s">
        <v>1654</v>
      </c>
      <c r="M824" s="6" t="n">
        <v>22</v>
      </c>
      <c r="N824" s="7" t="s">
        <v>24</v>
      </c>
    </row>
    <row r="825" customFormat="false" ht="29.85" hidden="false" customHeight="false" outlineLevel="0" collapsed="false">
      <c r="A825" s="6" t="n">
        <v>824</v>
      </c>
      <c r="B825" s="7" t="s">
        <v>1276</v>
      </c>
      <c r="C825" s="7" t="s">
        <v>1651</v>
      </c>
      <c r="D825" s="8" t="s">
        <v>1691</v>
      </c>
      <c r="E825" s="7" t="s">
        <v>1678</v>
      </c>
      <c r="F825" s="6" t="s">
        <v>476</v>
      </c>
      <c r="G825" s="7" t="s">
        <v>43</v>
      </c>
      <c r="H825" s="7" t="s">
        <v>20</v>
      </c>
      <c r="I825" s="7" t="s">
        <v>98</v>
      </c>
      <c r="J825" s="6" t="s">
        <v>1281</v>
      </c>
      <c r="K825" s="6" t="n">
        <v>5</v>
      </c>
      <c r="L825" s="7" t="s">
        <v>1654</v>
      </c>
      <c r="M825" s="6" t="n">
        <v>23</v>
      </c>
      <c r="N825" s="7" t="s">
        <v>24</v>
      </c>
    </row>
    <row r="826" customFormat="false" ht="29.85" hidden="false" customHeight="false" outlineLevel="0" collapsed="false">
      <c r="A826" s="6" t="n">
        <v>825</v>
      </c>
      <c r="B826" s="7" t="s">
        <v>1276</v>
      </c>
      <c r="C826" s="7" t="s">
        <v>1651</v>
      </c>
      <c r="D826" s="8" t="s">
        <v>1692</v>
      </c>
      <c r="E826" s="7" t="s">
        <v>1693</v>
      </c>
      <c r="F826" s="6" t="s">
        <v>476</v>
      </c>
      <c r="G826" s="7" t="s">
        <v>43</v>
      </c>
      <c r="H826" s="7" t="s">
        <v>20</v>
      </c>
      <c r="I826" s="7" t="s">
        <v>105</v>
      </c>
      <c r="J826" s="6" t="s">
        <v>1281</v>
      </c>
      <c r="K826" s="6" t="n">
        <v>5</v>
      </c>
      <c r="L826" s="7" t="s">
        <v>1654</v>
      </c>
      <c r="M826" s="6" t="n">
        <v>24</v>
      </c>
      <c r="N826" s="7" t="s">
        <v>24</v>
      </c>
    </row>
    <row r="827" customFormat="false" ht="15" hidden="false" customHeight="false" outlineLevel="0" collapsed="false">
      <c r="A827" s="6" t="n">
        <v>826</v>
      </c>
      <c r="B827" s="7" t="s">
        <v>1276</v>
      </c>
      <c r="C827" s="7" t="s">
        <v>1651</v>
      </c>
      <c r="D827" s="8" t="s">
        <v>1694</v>
      </c>
      <c r="E827" s="7" t="s">
        <v>1695</v>
      </c>
      <c r="F827" s="6" t="s">
        <v>37</v>
      </c>
      <c r="G827" s="7" t="s">
        <v>27</v>
      </c>
      <c r="H827" s="7" t="s">
        <v>38</v>
      </c>
      <c r="I827" s="7" t="s">
        <v>1348</v>
      </c>
      <c r="J827" s="6" t="s">
        <v>1281</v>
      </c>
      <c r="K827" s="6" t="n">
        <v>5</v>
      </c>
      <c r="L827" s="7" t="s">
        <v>1654</v>
      </c>
      <c r="M827" s="6" t="n">
        <v>25</v>
      </c>
      <c r="N827" s="7" t="s">
        <v>40</v>
      </c>
    </row>
    <row r="828" customFormat="false" ht="29.85" hidden="false" customHeight="false" outlineLevel="0" collapsed="false">
      <c r="A828" s="6" t="n">
        <v>827</v>
      </c>
      <c r="B828" s="7" t="s">
        <v>1276</v>
      </c>
      <c r="C828" s="7" t="s">
        <v>1651</v>
      </c>
      <c r="D828" s="8" t="s">
        <v>1696</v>
      </c>
      <c r="E828" s="7" t="s">
        <v>1697</v>
      </c>
      <c r="F828" s="6" t="s">
        <v>476</v>
      </c>
      <c r="G828" s="7" t="s">
        <v>43</v>
      </c>
      <c r="H828" s="7" t="s">
        <v>20</v>
      </c>
      <c r="I828" s="7" t="s">
        <v>150</v>
      </c>
      <c r="J828" s="6" t="s">
        <v>1281</v>
      </c>
      <c r="K828" s="6" t="n">
        <v>5</v>
      </c>
      <c r="L828" s="7" t="s">
        <v>1654</v>
      </c>
      <c r="M828" s="6" t="n">
        <v>26</v>
      </c>
      <c r="N828" s="7" t="s">
        <v>24</v>
      </c>
    </row>
    <row r="829" customFormat="false" ht="29.85" hidden="false" customHeight="false" outlineLevel="0" collapsed="false">
      <c r="A829" s="6" t="n">
        <v>828</v>
      </c>
      <c r="B829" s="7" t="s">
        <v>1276</v>
      </c>
      <c r="C829" s="7" t="s">
        <v>1651</v>
      </c>
      <c r="D829" s="8" t="s">
        <v>1698</v>
      </c>
      <c r="E829" s="7" t="s">
        <v>1693</v>
      </c>
      <c r="F829" s="6" t="s">
        <v>476</v>
      </c>
      <c r="G829" s="7" t="s">
        <v>43</v>
      </c>
      <c r="H829" s="7" t="s">
        <v>20</v>
      </c>
      <c r="I829" s="7" t="s">
        <v>112</v>
      </c>
      <c r="J829" s="6" t="s">
        <v>1281</v>
      </c>
      <c r="K829" s="6" t="n">
        <v>5</v>
      </c>
      <c r="L829" s="7" t="s">
        <v>1654</v>
      </c>
      <c r="M829" s="6" t="n">
        <v>27</v>
      </c>
      <c r="N829" s="7" t="s">
        <v>24</v>
      </c>
    </row>
    <row r="830" customFormat="false" ht="29.85" hidden="false" customHeight="false" outlineLevel="0" collapsed="false">
      <c r="A830" s="6" t="n">
        <v>829</v>
      </c>
      <c r="B830" s="7" t="s">
        <v>1276</v>
      </c>
      <c r="C830" s="7" t="s">
        <v>1651</v>
      </c>
      <c r="D830" s="8" t="s">
        <v>1699</v>
      </c>
      <c r="E830" s="7" t="s">
        <v>1678</v>
      </c>
      <c r="F830" s="6" t="s">
        <v>476</v>
      </c>
      <c r="G830" s="7" t="s">
        <v>43</v>
      </c>
      <c r="H830" s="7" t="s">
        <v>20</v>
      </c>
      <c r="I830" s="7" t="s">
        <v>51</v>
      </c>
      <c r="J830" s="6" t="s">
        <v>1281</v>
      </c>
      <c r="K830" s="6" t="n">
        <v>5</v>
      </c>
      <c r="L830" s="7" t="s">
        <v>1654</v>
      </c>
      <c r="M830" s="6" t="n">
        <v>28</v>
      </c>
      <c r="N830" s="7" t="s">
        <v>24</v>
      </c>
    </row>
    <row r="831" customFormat="false" ht="29.85" hidden="false" customHeight="false" outlineLevel="0" collapsed="false">
      <c r="A831" s="6" t="n">
        <v>830</v>
      </c>
      <c r="B831" s="7" t="s">
        <v>1276</v>
      </c>
      <c r="C831" s="7" t="s">
        <v>1651</v>
      </c>
      <c r="D831" s="8" t="s">
        <v>1700</v>
      </c>
      <c r="E831" s="7" t="s">
        <v>1701</v>
      </c>
      <c r="F831" s="6" t="s">
        <v>476</v>
      </c>
      <c r="G831" s="7" t="s">
        <v>43</v>
      </c>
      <c r="H831" s="7" t="s">
        <v>20</v>
      </c>
      <c r="I831" s="7" t="s">
        <v>114</v>
      </c>
      <c r="J831" s="6" t="s">
        <v>1281</v>
      </c>
      <c r="K831" s="6" t="n">
        <v>5</v>
      </c>
      <c r="L831" s="7" t="s">
        <v>1654</v>
      </c>
      <c r="M831" s="6" t="n">
        <v>29</v>
      </c>
      <c r="N831" s="7" t="s">
        <v>24</v>
      </c>
    </row>
    <row r="832" customFormat="false" ht="15" hidden="false" customHeight="false" outlineLevel="0" collapsed="false">
      <c r="A832" s="6" t="n">
        <v>831</v>
      </c>
      <c r="B832" s="7" t="s">
        <v>1276</v>
      </c>
      <c r="C832" s="7" t="s">
        <v>1651</v>
      </c>
      <c r="D832" s="8" t="s">
        <v>1702</v>
      </c>
      <c r="E832" s="7" t="s">
        <v>1703</v>
      </c>
      <c r="F832" s="6" t="s">
        <v>37</v>
      </c>
      <c r="G832" s="7" t="s">
        <v>27</v>
      </c>
      <c r="H832" s="7" t="s">
        <v>38</v>
      </c>
      <c r="I832" s="7" t="s">
        <v>1348</v>
      </c>
      <c r="J832" s="6" t="s">
        <v>1281</v>
      </c>
      <c r="K832" s="6" t="n">
        <v>5</v>
      </c>
      <c r="L832" s="7" t="s">
        <v>1654</v>
      </c>
      <c r="M832" s="6" t="n">
        <v>30</v>
      </c>
      <c r="N832" s="7" t="s">
        <v>40</v>
      </c>
    </row>
    <row r="833" customFormat="false" ht="29.85" hidden="false" customHeight="false" outlineLevel="0" collapsed="false">
      <c r="A833" s="6" t="n">
        <v>832</v>
      </c>
      <c r="B833" s="7" t="s">
        <v>1276</v>
      </c>
      <c r="C833" s="7" t="s">
        <v>1651</v>
      </c>
      <c r="D833" s="8" t="s">
        <v>1704</v>
      </c>
      <c r="E833" s="7" t="s">
        <v>1693</v>
      </c>
      <c r="F833" s="6" t="s">
        <v>476</v>
      </c>
      <c r="G833" s="7" t="s">
        <v>43</v>
      </c>
      <c r="H833" s="7" t="s">
        <v>20</v>
      </c>
      <c r="I833" s="7" t="s">
        <v>289</v>
      </c>
      <c r="J833" s="6" t="s">
        <v>1281</v>
      </c>
      <c r="K833" s="6" t="n">
        <v>5</v>
      </c>
      <c r="L833" s="7" t="s">
        <v>1654</v>
      </c>
      <c r="M833" s="6" t="n">
        <v>31</v>
      </c>
      <c r="N833" s="7" t="s">
        <v>24</v>
      </c>
    </row>
    <row r="834" customFormat="false" ht="29.85" hidden="false" customHeight="false" outlineLevel="0" collapsed="false">
      <c r="A834" s="6" t="n">
        <v>833</v>
      </c>
      <c r="B834" s="7" t="s">
        <v>1276</v>
      </c>
      <c r="C834" s="7" t="s">
        <v>1651</v>
      </c>
      <c r="D834" s="8" t="s">
        <v>1705</v>
      </c>
      <c r="E834" s="7" t="s">
        <v>1693</v>
      </c>
      <c r="F834" s="6" t="s">
        <v>476</v>
      </c>
      <c r="G834" s="7" t="s">
        <v>43</v>
      </c>
      <c r="H834" s="7" t="s">
        <v>20</v>
      </c>
      <c r="I834" s="7" t="s">
        <v>295</v>
      </c>
      <c r="J834" s="6" t="s">
        <v>1281</v>
      </c>
      <c r="K834" s="6" t="n">
        <v>5</v>
      </c>
      <c r="L834" s="7" t="s">
        <v>1654</v>
      </c>
      <c r="M834" s="6" t="n">
        <v>32</v>
      </c>
      <c r="N834" s="7" t="s">
        <v>24</v>
      </c>
    </row>
    <row r="835" customFormat="false" ht="29.85" hidden="false" customHeight="false" outlineLevel="0" collapsed="false">
      <c r="A835" s="6" t="n">
        <v>834</v>
      </c>
      <c r="B835" s="7" t="s">
        <v>1276</v>
      </c>
      <c r="C835" s="7" t="s">
        <v>1651</v>
      </c>
      <c r="D835" s="8" t="s">
        <v>1706</v>
      </c>
      <c r="E835" s="7" t="s">
        <v>1693</v>
      </c>
      <c r="F835" s="6" t="s">
        <v>476</v>
      </c>
      <c r="G835" s="7" t="s">
        <v>43</v>
      </c>
      <c r="H835" s="7" t="s">
        <v>20</v>
      </c>
      <c r="I835" s="7" t="s">
        <v>295</v>
      </c>
      <c r="J835" s="6" t="s">
        <v>1281</v>
      </c>
      <c r="K835" s="6" t="n">
        <v>5</v>
      </c>
      <c r="L835" s="7" t="s">
        <v>1654</v>
      </c>
      <c r="M835" s="6" t="n">
        <v>33</v>
      </c>
      <c r="N835" s="7" t="s">
        <v>24</v>
      </c>
    </row>
    <row r="836" customFormat="false" ht="29.85" hidden="false" customHeight="false" outlineLevel="0" collapsed="false">
      <c r="A836" s="6" t="n">
        <v>835</v>
      </c>
      <c r="B836" s="7" t="s">
        <v>1276</v>
      </c>
      <c r="C836" s="7" t="s">
        <v>1651</v>
      </c>
      <c r="D836" s="8" t="s">
        <v>1707</v>
      </c>
      <c r="E836" s="7" t="s">
        <v>1676</v>
      </c>
      <c r="F836" s="6" t="s">
        <v>476</v>
      </c>
      <c r="G836" s="7" t="s">
        <v>43</v>
      </c>
      <c r="H836" s="7" t="s">
        <v>20</v>
      </c>
      <c r="I836" s="7" t="s">
        <v>295</v>
      </c>
      <c r="J836" s="6" t="s">
        <v>1281</v>
      </c>
      <c r="K836" s="6" t="n">
        <v>5</v>
      </c>
      <c r="L836" s="7" t="s">
        <v>1654</v>
      </c>
      <c r="M836" s="6" t="n">
        <v>34</v>
      </c>
      <c r="N836" s="7" t="s">
        <v>24</v>
      </c>
    </row>
    <row r="837" customFormat="false" ht="15" hidden="false" customHeight="false" outlineLevel="0" collapsed="false">
      <c r="A837" s="6" t="n">
        <v>836</v>
      </c>
      <c r="B837" s="7" t="s">
        <v>1276</v>
      </c>
      <c r="C837" s="7" t="s">
        <v>1651</v>
      </c>
      <c r="D837" s="8" t="s">
        <v>1708</v>
      </c>
      <c r="E837" s="8" t="s">
        <v>1709</v>
      </c>
      <c r="F837" s="6" t="s">
        <v>37</v>
      </c>
      <c r="G837" s="7" t="s">
        <v>27</v>
      </c>
      <c r="H837" s="7" t="s">
        <v>38</v>
      </c>
      <c r="I837" s="7" t="s">
        <v>83</v>
      </c>
      <c r="J837" s="6" t="s">
        <v>1281</v>
      </c>
      <c r="K837" s="6" t="n">
        <v>5</v>
      </c>
      <c r="L837" s="7" t="s">
        <v>1654</v>
      </c>
      <c r="M837" s="6" t="n">
        <v>35</v>
      </c>
      <c r="N837" s="7" t="s">
        <v>40</v>
      </c>
    </row>
    <row r="838" customFormat="false" ht="29.85" hidden="false" customHeight="false" outlineLevel="0" collapsed="false">
      <c r="A838" s="6" t="n">
        <v>837</v>
      </c>
      <c r="B838" s="7" t="s">
        <v>1276</v>
      </c>
      <c r="C838" s="7" t="s">
        <v>1651</v>
      </c>
      <c r="D838" s="8" t="s">
        <v>1710</v>
      </c>
      <c r="E838" s="7" t="s">
        <v>1688</v>
      </c>
      <c r="F838" s="6" t="s">
        <v>476</v>
      </c>
      <c r="G838" s="7" t="s">
        <v>43</v>
      </c>
      <c r="H838" s="7" t="s">
        <v>20</v>
      </c>
      <c r="I838" s="7" t="s">
        <v>295</v>
      </c>
      <c r="J838" s="6" t="s">
        <v>1281</v>
      </c>
      <c r="K838" s="6" t="n">
        <v>5</v>
      </c>
      <c r="L838" s="7" t="s">
        <v>1654</v>
      </c>
      <c r="M838" s="6" t="n">
        <v>36</v>
      </c>
      <c r="N838" s="7" t="s">
        <v>24</v>
      </c>
    </row>
    <row r="839" customFormat="false" ht="29.85" hidden="false" customHeight="false" outlineLevel="0" collapsed="false">
      <c r="A839" s="6" t="n">
        <v>838</v>
      </c>
      <c r="B839" s="7" t="s">
        <v>1276</v>
      </c>
      <c r="C839" s="7" t="s">
        <v>1651</v>
      </c>
      <c r="D839" s="8" t="s">
        <v>1711</v>
      </c>
      <c r="E839" s="7" t="s">
        <v>1693</v>
      </c>
      <c r="F839" s="6" t="s">
        <v>476</v>
      </c>
      <c r="G839" s="7" t="s">
        <v>43</v>
      </c>
      <c r="H839" s="7" t="s">
        <v>20</v>
      </c>
      <c r="I839" s="7" t="s">
        <v>201</v>
      </c>
      <c r="J839" s="6" t="s">
        <v>1281</v>
      </c>
      <c r="K839" s="6" t="n">
        <v>5</v>
      </c>
      <c r="L839" s="7" t="s">
        <v>1654</v>
      </c>
      <c r="M839" s="6" t="n">
        <v>37</v>
      </c>
      <c r="N839" s="7" t="s">
        <v>24</v>
      </c>
    </row>
    <row r="840" customFormat="false" ht="29.85" hidden="false" customHeight="false" outlineLevel="0" collapsed="false">
      <c r="A840" s="6" t="n">
        <v>839</v>
      </c>
      <c r="B840" s="7" t="s">
        <v>1276</v>
      </c>
      <c r="C840" s="7" t="s">
        <v>1651</v>
      </c>
      <c r="D840" s="8" t="s">
        <v>1712</v>
      </c>
      <c r="E840" s="7" t="s">
        <v>1713</v>
      </c>
      <c r="F840" s="6" t="s">
        <v>476</v>
      </c>
      <c r="G840" s="7" t="s">
        <v>43</v>
      </c>
      <c r="H840" s="7" t="s">
        <v>20</v>
      </c>
      <c r="I840" s="7" t="s">
        <v>203</v>
      </c>
      <c r="J840" s="6" t="s">
        <v>1281</v>
      </c>
      <c r="K840" s="6" t="n">
        <v>5</v>
      </c>
      <c r="L840" s="7" t="s">
        <v>1654</v>
      </c>
      <c r="M840" s="6" t="n">
        <v>38</v>
      </c>
      <c r="N840" s="7" t="s">
        <v>24</v>
      </c>
    </row>
    <row r="841" customFormat="false" ht="29.85" hidden="false" customHeight="false" outlineLevel="0" collapsed="false">
      <c r="A841" s="6" t="n">
        <v>840</v>
      </c>
      <c r="B841" s="7" t="s">
        <v>1276</v>
      </c>
      <c r="C841" s="7" t="s">
        <v>1651</v>
      </c>
      <c r="D841" s="8" t="s">
        <v>1714</v>
      </c>
      <c r="E841" s="7" t="s">
        <v>1676</v>
      </c>
      <c r="F841" s="6" t="s">
        <v>476</v>
      </c>
      <c r="G841" s="7" t="s">
        <v>43</v>
      </c>
      <c r="H841" s="7" t="s">
        <v>20</v>
      </c>
      <c r="I841" s="7" t="s">
        <v>117</v>
      </c>
      <c r="J841" s="6" t="s">
        <v>1281</v>
      </c>
      <c r="K841" s="6" t="n">
        <v>5</v>
      </c>
      <c r="L841" s="7" t="s">
        <v>1654</v>
      </c>
      <c r="M841" s="6" t="n">
        <v>39</v>
      </c>
      <c r="N841" s="7" t="s">
        <v>24</v>
      </c>
    </row>
    <row r="842" customFormat="false" ht="15" hidden="false" customHeight="false" outlineLevel="0" collapsed="false">
      <c r="A842" s="6" t="n">
        <v>841</v>
      </c>
      <c r="B842" s="7" t="s">
        <v>1276</v>
      </c>
      <c r="C842" s="7" t="s">
        <v>1651</v>
      </c>
      <c r="D842" s="8" t="s">
        <v>1715</v>
      </c>
      <c r="E842" s="8" t="s">
        <v>1716</v>
      </c>
      <c r="F842" s="6" t="s">
        <v>37</v>
      </c>
      <c r="G842" s="7" t="s">
        <v>27</v>
      </c>
      <c r="H842" s="7" t="s">
        <v>38</v>
      </c>
      <c r="I842" s="7" t="s">
        <v>95</v>
      </c>
      <c r="J842" s="6" t="s">
        <v>1281</v>
      </c>
      <c r="K842" s="6" t="n">
        <v>5</v>
      </c>
      <c r="L842" s="7" t="s">
        <v>1654</v>
      </c>
      <c r="M842" s="6" t="n">
        <v>40</v>
      </c>
      <c r="N842" s="7" t="s">
        <v>40</v>
      </c>
    </row>
    <row r="843" customFormat="false" ht="15" hidden="false" customHeight="false" outlineLevel="0" collapsed="false">
      <c r="A843" s="6" t="n">
        <v>842</v>
      </c>
      <c r="B843" s="7" t="s">
        <v>1276</v>
      </c>
      <c r="C843" s="7" t="s">
        <v>1651</v>
      </c>
      <c r="D843" s="8" t="s">
        <v>1717</v>
      </c>
      <c r="E843" s="7" t="s">
        <v>1718</v>
      </c>
      <c r="F843" s="6" t="s">
        <v>37</v>
      </c>
      <c r="G843" s="7" t="s">
        <v>27</v>
      </c>
      <c r="H843" s="7" t="s">
        <v>38</v>
      </c>
      <c r="I843" s="7" t="s">
        <v>1096</v>
      </c>
      <c r="J843" s="6" t="s">
        <v>1281</v>
      </c>
      <c r="K843" s="6" t="n">
        <v>5</v>
      </c>
      <c r="L843" s="7" t="s">
        <v>1654</v>
      </c>
      <c r="M843" s="6" t="n">
        <v>41</v>
      </c>
      <c r="N843" s="7" t="s">
        <v>40</v>
      </c>
    </row>
    <row r="844" customFormat="false" ht="15" hidden="false" customHeight="false" outlineLevel="0" collapsed="false">
      <c r="A844" s="6" t="n">
        <v>843</v>
      </c>
      <c r="B844" s="7" t="s">
        <v>1276</v>
      </c>
      <c r="C844" s="7" t="s">
        <v>1651</v>
      </c>
      <c r="D844" s="8" t="s">
        <v>1719</v>
      </c>
      <c r="E844" s="7" t="s">
        <v>1720</v>
      </c>
      <c r="F844" s="6" t="s">
        <v>37</v>
      </c>
      <c r="G844" s="7" t="s">
        <v>27</v>
      </c>
      <c r="H844" s="7" t="s">
        <v>38</v>
      </c>
      <c r="I844" s="7" t="s">
        <v>1096</v>
      </c>
      <c r="J844" s="6" t="s">
        <v>1281</v>
      </c>
      <c r="K844" s="6" t="n">
        <v>5</v>
      </c>
      <c r="L844" s="7" t="s">
        <v>1654</v>
      </c>
      <c r="M844" s="6" t="n">
        <v>42</v>
      </c>
      <c r="N844" s="7" t="s">
        <v>40</v>
      </c>
    </row>
    <row r="845" customFormat="false" ht="15" hidden="false" customHeight="false" outlineLevel="0" collapsed="false">
      <c r="A845" s="6" t="n">
        <v>844</v>
      </c>
      <c r="B845" s="7" t="s">
        <v>1276</v>
      </c>
      <c r="C845" s="7" t="s">
        <v>1651</v>
      </c>
      <c r="D845" s="8" t="s">
        <v>1721</v>
      </c>
      <c r="E845" s="7" t="s">
        <v>1722</v>
      </c>
      <c r="F845" s="6" t="s">
        <v>37</v>
      </c>
      <c r="G845" s="7" t="s">
        <v>27</v>
      </c>
      <c r="H845" s="7" t="s">
        <v>38</v>
      </c>
      <c r="I845" s="7" t="s">
        <v>1096</v>
      </c>
      <c r="J845" s="6" t="s">
        <v>1281</v>
      </c>
      <c r="K845" s="6" t="n">
        <v>5</v>
      </c>
      <c r="L845" s="7" t="s">
        <v>1654</v>
      </c>
      <c r="M845" s="6" t="n">
        <v>43</v>
      </c>
      <c r="N845" s="7" t="s">
        <v>40</v>
      </c>
    </row>
    <row r="846" customFormat="false" ht="15" hidden="false" customHeight="false" outlineLevel="0" collapsed="false">
      <c r="A846" s="6" t="n">
        <v>845</v>
      </c>
      <c r="B846" s="7" t="s">
        <v>1276</v>
      </c>
      <c r="C846" s="7" t="s">
        <v>1651</v>
      </c>
      <c r="D846" s="8" t="s">
        <v>1723</v>
      </c>
      <c r="E846" s="6" t="s">
        <v>1724</v>
      </c>
      <c r="F846" s="6" t="s">
        <v>37</v>
      </c>
      <c r="G846" s="7" t="s">
        <v>27</v>
      </c>
      <c r="H846" s="7" t="s">
        <v>38</v>
      </c>
      <c r="I846" s="7" t="s">
        <v>153</v>
      </c>
      <c r="J846" s="6" t="s">
        <v>1281</v>
      </c>
      <c r="K846" s="6" t="n">
        <v>5</v>
      </c>
      <c r="L846" s="7" t="s">
        <v>1654</v>
      </c>
      <c r="M846" s="6" t="n">
        <v>44</v>
      </c>
      <c r="N846" s="7" t="s">
        <v>40</v>
      </c>
    </row>
    <row r="847" customFormat="false" ht="15" hidden="false" customHeight="false" outlineLevel="0" collapsed="false">
      <c r="A847" s="6" t="n">
        <v>846</v>
      </c>
      <c r="B847" s="7" t="s">
        <v>1276</v>
      </c>
      <c r="C847" s="7" t="s">
        <v>1651</v>
      </c>
      <c r="D847" s="8" t="s">
        <v>1725</v>
      </c>
      <c r="E847" s="7" t="s">
        <v>1726</v>
      </c>
      <c r="F847" s="6" t="s">
        <v>37</v>
      </c>
      <c r="G847" s="7" t="s">
        <v>27</v>
      </c>
      <c r="H847" s="7" t="s">
        <v>38</v>
      </c>
      <c r="I847" s="7" t="s">
        <v>120</v>
      </c>
      <c r="J847" s="6" t="s">
        <v>1281</v>
      </c>
      <c r="K847" s="6" t="n">
        <v>5</v>
      </c>
      <c r="L847" s="7" t="s">
        <v>1654</v>
      </c>
      <c r="M847" s="6" t="n">
        <v>45</v>
      </c>
      <c r="N847" s="7" t="s">
        <v>40</v>
      </c>
    </row>
    <row r="848" customFormat="false" ht="15" hidden="false" customHeight="false" outlineLevel="0" collapsed="false">
      <c r="A848" s="6" t="n">
        <v>847</v>
      </c>
      <c r="B848" s="7" t="s">
        <v>1276</v>
      </c>
      <c r="C848" s="7" t="s">
        <v>1651</v>
      </c>
      <c r="D848" s="8" t="s">
        <v>1727</v>
      </c>
      <c r="E848" s="7" t="s">
        <v>1728</v>
      </c>
      <c r="F848" s="6" t="s">
        <v>82</v>
      </c>
      <c r="G848" s="7" t="s">
        <v>27</v>
      </c>
      <c r="H848" s="7" t="s">
        <v>38</v>
      </c>
      <c r="I848" s="7" t="s">
        <v>410</v>
      </c>
      <c r="J848" s="6" t="s">
        <v>1281</v>
      </c>
      <c r="K848" s="6" t="n">
        <v>5</v>
      </c>
      <c r="L848" s="7" t="s">
        <v>1654</v>
      </c>
      <c r="M848" s="6" t="n">
        <v>46</v>
      </c>
      <c r="N848" s="7" t="s">
        <v>40</v>
      </c>
    </row>
    <row r="849" customFormat="false" ht="15" hidden="false" customHeight="false" outlineLevel="0" collapsed="false">
      <c r="A849" s="6" t="n">
        <v>848</v>
      </c>
      <c r="B849" s="7" t="s">
        <v>1276</v>
      </c>
      <c r="C849" s="7" t="s">
        <v>1651</v>
      </c>
      <c r="D849" s="8" t="s">
        <v>1729</v>
      </c>
      <c r="E849" s="6" t="s">
        <v>1730</v>
      </c>
      <c r="F849" s="6" t="s">
        <v>378</v>
      </c>
      <c r="G849" s="7" t="s">
        <v>27</v>
      </c>
      <c r="H849" s="7" t="s">
        <v>38</v>
      </c>
      <c r="I849" s="7" t="s">
        <v>1036</v>
      </c>
      <c r="J849" s="6" t="s">
        <v>1281</v>
      </c>
      <c r="K849" s="6" t="n">
        <v>5</v>
      </c>
      <c r="L849" s="7" t="s">
        <v>1654</v>
      </c>
      <c r="M849" s="6" t="n">
        <v>47</v>
      </c>
      <c r="N849" s="7" t="s">
        <v>40</v>
      </c>
    </row>
    <row r="850" customFormat="false" ht="29.85" hidden="false" customHeight="false" outlineLevel="0" collapsed="false">
      <c r="A850" s="6" t="n">
        <v>849</v>
      </c>
      <c r="B850" s="7" t="s">
        <v>1276</v>
      </c>
      <c r="C850" s="7" t="s">
        <v>1651</v>
      </c>
      <c r="D850" s="8" t="s">
        <v>1731</v>
      </c>
      <c r="E850" s="7" t="s">
        <v>1669</v>
      </c>
      <c r="F850" s="6" t="s">
        <v>476</v>
      </c>
      <c r="G850" s="7" t="s">
        <v>43</v>
      </c>
      <c r="H850" s="7" t="s">
        <v>38</v>
      </c>
      <c r="I850" s="7" t="s">
        <v>872</v>
      </c>
      <c r="J850" s="6" t="s">
        <v>1281</v>
      </c>
      <c r="K850" s="6" t="n">
        <v>5</v>
      </c>
      <c r="L850" s="7" t="s">
        <v>1654</v>
      </c>
      <c r="M850" s="6" t="n">
        <v>48</v>
      </c>
      <c r="N850" s="7" t="s">
        <v>40</v>
      </c>
    </row>
    <row r="851" customFormat="false" ht="29.85" hidden="false" customHeight="false" outlineLevel="0" collapsed="false">
      <c r="A851" s="6" t="n">
        <v>850</v>
      </c>
      <c r="B851" s="7" t="s">
        <v>1276</v>
      </c>
      <c r="C851" s="7" t="s">
        <v>1651</v>
      </c>
      <c r="D851" s="8" t="s">
        <v>1732</v>
      </c>
      <c r="E851" s="6" t="s">
        <v>1730</v>
      </c>
      <c r="F851" s="6" t="s">
        <v>378</v>
      </c>
      <c r="G851" s="7" t="s">
        <v>27</v>
      </c>
      <c r="H851" s="7" t="s">
        <v>38</v>
      </c>
      <c r="I851" s="7" t="s">
        <v>1508</v>
      </c>
      <c r="J851" s="6" t="s">
        <v>1281</v>
      </c>
      <c r="K851" s="6" t="n">
        <v>5</v>
      </c>
      <c r="L851" s="7" t="s">
        <v>1654</v>
      </c>
      <c r="M851" s="6" t="n">
        <v>49</v>
      </c>
      <c r="N851" s="7" t="s">
        <v>40</v>
      </c>
    </row>
    <row r="852" customFormat="false" ht="29.85" hidden="false" customHeight="false" outlineLevel="0" collapsed="false">
      <c r="A852" s="6" t="n">
        <v>851</v>
      </c>
      <c r="B852" s="7" t="s">
        <v>1276</v>
      </c>
      <c r="C852" s="7" t="s">
        <v>1651</v>
      </c>
      <c r="D852" s="8" t="s">
        <v>1733</v>
      </c>
      <c r="E852" s="7" t="s">
        <v>1669</v>
      </c>
      <c r="F852" s="6" t="s">
        <v>476</v>
      </c>
      <c r="G852" s="7" t="s">
        <v>43</v>
      </c>
      <c r="H852" s="7" t="s">
        <v>38</v>
      </c>
      <c r="I852" s="7" t="s">
        <v>1734</v>
      </c>
      <c r="J852" s="6" t="s">
        <v>1281</v>
      </c>
      <c r="K852" s="6" t="n">
        <v>5</v>
      </c>
      <c r="L852" s="7" t="s">
        <v>1654</v>
      </c>
      <c r="M852" s="6" t="n">
        <v>50</v>
      </c>
      <c r="N852" s="7" t="s">
        <v>40</v>
      </c>
    </row>
    <row r="853" customFormat="false" ht="29.85" hidden="false" customHeight="false" outlineLevel="0" collapsed="false">
      <c r="A853" s="6" t="n">
        <v>852</v>
      </c>
      <c r="B853" s="7" t="s">
        <v>1276</v>
      </c>
      <c r="C853" s="7" t="s">
        <v>1651</v>
      </c>
      <c r="D853" s="8" t="s">
        <v>1735</v>
      </c>
      <c r="E853" s="7" t="s">
        <v>1653</v>
      </c>
      <c r="F853" s="6" t="s">
        <v>476</v>
      </c>
      <c r="G853" s="7" t="s">
        <v>43</v>
      </c>
      <c r="H853" s="7" t="s">
        <v>38</v>
      </c>
      <c r="I853" s="7" t="s">
        <v>637</v>
      </c>
      <c r="J853" s="6" t="s">
        <v>1281</v>
      </c>
      <c r="K853" s="6" t="n">
        <v>5</v>
      </c>
      <c r="L853" s="7" t="s">
        <v>1654</v>
      </c>
      <c r="M853" s="6" t="n">
        <v>51</v>
      </c>
      <c r="N853" s="7" t="s">
        <v>40</v>
      </c>
    </row>
    <row r="854" customFormat="false" ht="41" hidden="false" customHeight="false" outlineLevel="0" collapsed="false">
      <c r="A854" s="6" t="n">
        <v>853</v>
      </c>
      <c r="B854" s="7" t="s">
        <v>1276</v>
      </c>
      <c r="C854" s="7" t="s">
        <v>1651</v>
      </c>
      <c r="D854" s="8" t="s">
        <v>1736</v>
      </c>
      <c r="E854" s="7" t="s">
        <v>1688</v>
      </c>
      <c r="F854" s="6" t="s">
        <v>476</v>
      </c>
      <c r="G854" s="7" t="s">
        <v>43</v>
      </c>
      <c r="H854" s="7" t="s">
        <v>38</v>
      </c>
      <c r="I854" s="7" t="s">
        <v>55</v>
      </c>
      <c r="J854" s="6" t="s">
        <v>1281</v>
      </c>
      <c r="K854" s="6" t="n">
        <v>5</v>
      </c>
      <c r="L854" s="7" t="s">
        <v>1654</v>
      </c>
      <c r="M854" s="6" t="n">
        <v>52</v>
      </c>
      <c r="N854" s="7" t="s">
        <v>40</v>
      </c>
    </row>
    <row r="855" customFormat="false" ht="44" hidden="false" customHeight="false" outlineLevel="0" collapsed="false">
      <c r="A855" s="6" t="n">
        <v>854</v>
      </c>
      <c r="B855" s="7" t="s">
        <v>1276</v>
      </c>
      <c r="C855" s="7" t="s">
        <v>1651</v>
      </c>
      <c r="D855" s="8" t="s">
        <v>1737</v>
      </c>
      <c r="E855" s="7" t="s">
        <v>1656</v>
      </c>
      <c r="F855" s="6" t="s">
        <v>476</v>
      </c>
      <c r="G855" s="7" t="s">
        <v>43</v>
      </c>
      <c r="H855" s="7" t="s">
        <v>38</v>
      </c>
      <c r="I855" s="7" t="s">
        <v>472</v>
      </c>
      <c r="J855" s="6" t="s">
        <v>1281</v>
      </c>
      <c r="K855" s="6" t="n">
        <v>5</v>
      </c>
      <c r="L855" s="7" t="s">
        <v>1654</v>
      </c>
      <c r="M855" s="6" t="n">
        <v>53</v>
      </c>
      <c r="N855" s="7" t="s">
        <v>40</v>
      </c>
    </row>
    <row r="856" customFormat="false" ht="44" hidden="false" customHeight="false" outlineLevel="0" collapsed="false">
      <c r="A856" s="6" t="n">
        <v>855</v>
      </c>
      <c r="B856" s="7" t="s">
        <v>1276</v>
      </c>
      <c r="C856" s="7" t="s">
        <v>1651</v>
      </c>
      <c r="D856" s="8" t="s">
        <v>1738</v>
      </c>
      <c r="E856" s="7" t="s">
        <v>1688</v>
      </c>
      <c r="F856" s="6" t="s">
        <v>476</v>
      </c>
      <c r="G856" s="7" t="s">
        <v>43</v>
      </c>
      <c r="H856" s="7" t="s">
        <v>38</v>
      </c>
      <c r="I856" s="7" t="s">
        <v>57</v>
      </c>
      <c r="J856" s="6" t="s">
        <v>1281</v>
      </c>
      <c r="K856" s="6" t="n">
        <v>5</v>
      </c>
      <c r="L856" s="7" t="s">
        <v>1654</v>
      </c>
      <c r="M856" s="6" t="n">
        <v>54</v>
      </c>
      <c r="N856" s="7" t="s">
        <v>40</v>
      </c>
    </row>
    <row r="857" customFormat="false" ht="44" hidden="false" customHeight="false" outlineLevel="0" collapsed="false">
      <c r="A857" s="6" t="n">
        <v>856</v>
      </c>
      <c r="B857" s="7" t="s">
        <v>1276</v>
      </c>
      <c r="C857" s="7" t="s">
        <v>1651</v>
      </c>
      <c r="D857" s="8" t="s">
        <v>1739</v>
      </c>
      <c r="E857" s="7" t="s">
        <v>1740</v>
      </c>
      <c r="F857" s="6" t="s">
        <v>476</v>
      </c>
      <c r="G857" s="7" t="s">
        <v>43</v>
      </c>
      <c r="H857" s="7" t="s">
        <v>38</v>
      </c>
      <c r="I857" s="7" t="s">
        <v>57</v>
      </c>
      <c r="J857" s="6" t="s">
        <v>1281</v>
      </c>
      <c r="K857" s="6" t="n">
        <v>5</v>
      </c>
      <c r="L857" s="7" t="s">
        <v>1654</v>
      </c>
      <c r="M857" s="6" t="n">
        <v>55</v>
      </c>
      <c r="N857" s="7" t="s">
        <v>40</v>
      </c>
    </row>
    <row r="858" customFormat="false" ht="44" hidden="false" customHeight="false" outlineLevel="0" collapsed="false">
      <c r="A858" s="6" t="n">
        <v>857</v>
      </c>
      <c r="B858" s="7" t="s">
        <v>1276</v>
      </c>
      <c r="C858" s="7" t="s">
        <v>1651</v>
      </c>
      <c r="D858" s="8" t="s">
        <v>1741</v>
      </c>
      <c r="E858" s="7" t="s">
        <v>1742</v>
      </c>
      <c r="F858" s="6" t="s">
        <v>476</v>
      </c>
      <c r="G858" s="7" t="s">
        <v>43</v>
      </c>
      <c r="H858" s="7" t="s">
        <v>38</v>
      </c>
      <c r="I858" s="7" t="s">
        <v>1743</v>
      </c>
      <c r="J858" s="6" t="s">
        <v>1281</v>
      </c>
      <c r="K858" s="6" t="n">
        <v>5</v>
      </c>
      <c r="L858" s="7" t="s">
        <v>1654</v>
      </c>
      <c r="M858" s="6" t="n">
        <v>56</v>
      </c>
      <c r="N858" s="7" t="s">
        <v>40</v>
      </c>
    </row>
    <row r="859" customFormat="false" ht="44" hidden="false" customHeight="false" outlineLevel="0" collapsed="false">
      <c r="A859" s="6" t="n">
        <v>858</v>
      </c>
      <c r="B859" s="7" t="s">
        <v>1276</v>
      </c>
      <c r="C859" s="7" t="s">
        <v>1651</v>
      </c>
      <c r="D859" s="8" t="s">
        <v>1744</v>
      </c>
      <c r="E859" s="7" t="s">
        <v>1745</v>
      </c>
      <c r="F859" s="6" t="s">
        <v>476</v>
      </c>
      <c r="G859" s="7" t="s">
        <v>43</v>
      </c>
      <c r="H859" s="7" t="s">
        <v>38</v>
      </c>
      <c r="I859" s="7" t="s">
        <v>1746</v>
      </c>
      <c r="J859" s="6" t="s">
        <v>1281</v>
      </c>
      <c r="K859" s="6" t="n">
        <v>5</v>
      </c>
      <c r="L859" s="7" t="s">
        <v>1654</v>
      </c>
      <c r="M859" s="6" t="n">
        <v>57</v>
      </c>
      <c r="N859" s="7" t="s">
        <v>40</v>
      </c>
    </row>
    <row r="860" customFormat="false" ht="44" hidden="false" customHeight="false" outlineLevel="0" collapsed="false">
      <c r="A860" s="6" t="n">
        <v>859</v>
      </c>
      <c r="B860" s="7" t="s">
        <v>1276</v>
      </c>
      <c r="C860" s="7" t="s">
        <v>1651</v>
      </c>
      <c r="D860" s="8" t="s">
        <v>1747</v>
      </c>
      <c r="E860" s="7" t="s">
        <v>1669</v>
      </c>
      <c r="F860" s="6" t="s">
        <v>476</v>
      </c>
      <c r="G860" s="7" t="s">
        <v>43</v>
      </c>
      <c r="H860" s="7" t="s">
        <v>38</v>
      </c>
      <c r="I860" s="7" t="s">
        <v>1748</v>
      </c>
      <c r="J860" s="6" t="s">
        <v>1281</v>
      </c>
      <c r="K860" s="6" t="n">
        <v>5</v>
      </c>
      <c r="L860" s="7" t="s">
        <v>1654</v>
      </c>
      <c r="M860" s="6" t="n">
        <v>58</v>
      </c>
      <c r="N860" s="7" t="s">
        <v>40</v>
      </c>
    </row>
    <row r="861" customFormat="false" ht="44" hidden="false" customHeight="false" outlineLevel="0" collapsed="false">
      <c r="A861" s="6" t="n">
        <v>860</v>
      </c>
      <c r="B861" s="7" t="s">
        <v>1276</v>
      </c>
      <c r="C861" s="7" t="s">
        <v>1651</v>
      </c>
      <c r="D861" s="8" t="s">
        <v>1749</v>
      </c>
      <c r="E861" s="7" t="s">
        <v>1653</v>
      </c>
      <c r="F861" s="6" t="s">
        <v>476</v>
      </c>
      <c r="G861" s="7" t="s">
        <v>43</v>
      </c>
      <c r="H861" s="7" t="s">
        <v>38</v>
      </c>
      <c r="I861" s="7" t="s">
        <v>1750</v>
      </c>
      <c r="J861" s="6" t="s">
        <v>1281</v>
      </c>
      <c r="K861" s="6" t="n">
        <v>5</v>
      </c>
      <c r="L861" s="7" t="s">
        <v>1654</v>
      </c>
      <c r="M861" s="6" t="n">
        <v>59</v>
      </c>
      <c r="N861" s="7" t="s">
        <v>40</v>
      </c>
    </row>
    <row r="862" customFormat="false" ht="44" hidden="false" customHeight="false" outlineLevel="0" collapsed="false">
      <c r="A862" s="6" t="n">
        <v>861</v>
      </c>
      <c r="B862" s="7" t="s">
        <v>1276</v>
      </c>
      <c r="C862" s="7" t="s">
        <v>1651</v>
      </c>
      <c r="D862" s="8" t="s">
        <v>1751</v>
      </c>
      <c r="E862" s="7" t="s">
        <v>1678</v>
      </c>
      <c r="F862" s="6" t="s">
        <v>476</v>
      </c>
      <c r="G862" s="7" t="s">
        <v>43</v>
      </c>
      <c r="H862" s="7" t="s">
        <v>38</v>
      </c>
      <c r="I862" s="7" t="s">
        <v>131</v>
      </c>
      <c r="J862" s="6" t="s">
        <v>1281</v>
      </c>
      <c r="K862" s="6" t="n">
        <v>5</v>
      </c>
      <c r="L862" s="7" t="s">
        <v>1654</v>
      </c>
      <c r="M862" s="6" t="n">
        <v>60</v>
      </c>
      <c r="N862" s="7" t="s">
        <v>40</v>
      </c>
    </row>
    <row r="863" customFormat="false" ht="58.2" hidden="false" customHeight="false" outlineLevel="0" collapsed="false">
      <c r="A863" s="6" t="n">
        <v>862</v>
      </c>
      <c r="B863" s="7" t="s">
        <v>1276</v>
      </c>
      <c r="C863" s="7" t="s">
        <v>1651</v>
      </c>
      <c r="D863" s="8" t="s">
        <v>1752</v>
      </c>
      <c r="E863" s="7" t="s">
        <v>1678</v>
      </c>
      <c r="F863" s="6" t="s">
        <v>476</v>
      </c>
      <c r="G863" s="7" t="s">
        <v>43</v>
      </c>
      <c r="H863" s="7" t="s">
        <v>38</v>
      </c>
      <c r="I863" s="7" t="s">
        <v>1753</v>
      </c>
      <c r="J863" s="6" t="s">
        <v>1281</v>
      </c>
      <c r="K863" s="6" t="n">
        <v>5</v>
      </c>
      <c r="L863" s="7" t="s">
        <v>1654</v>
      </c>
      <c r="M863" s="6" t="n">
        <v>61</v>
      </c>
      <c r="N863" s="7" t="s">
        <v>40</v>
      </c>
    </row>
    <row r="864" customFormat="false" ht="58.2" hidden="false" customHeight="false" outlineLevel="0" collapsed="false">
      <c r="A864" s="6" t="n">
        <v>863</v>
      </c>
      <c r="B864" s="7" t="s">
        <v>1276</v>
      </c>
      <c r="C864" s="7" t="s">
        <v>1651</v>
      </c>
      <c r="D864" s="8" t="s">
        <v>1754</v>
      </c>
      <c r="E864" s="7" t="s">
        <v>1678</v>
      </c>
      <c r="F864" s="6" t="s">
        <v>476</v>
      </c>
      <c r="G864" s="7" t="s">
        <v>43</v>
      </c>
      <c r="H864" s="7" t="s">
        <v>38</v>
      </c>
      <c r="I864" s="7" t="s">
        <v>738</v>
      </c>
      <c r="J864" s="6" t="s">
        <v>1281</v>
      </c>
      <c r="K864" s="6" t="n">
        <v>5</v>
      </c>
      <c r="L864" s="7" t="s">
        <v>1654</v>
      </c>
      <c r="M864" s="6" t="n">
        <v>62</v>
      </c>
      <c r="N864" s="7" t="s">
        <v>40</v>
      </c>
    </row>
    <row r="865" customFormat="false" ht="29.85" hidden="false" customHeight="false" outlineLevel="0" collapsed="false">
      <c r="A865" s="6" t="n">
        <v>864</v>
      </c>
      <c r="B865" s="7" t="s">
        <v>1276</v>
      </c>
      <c r="C865" s="7" t="s">
        <v>1651</v>
      </c>
      <c r="D865" s="8" t="s">
        <v>1755</v>
      </c>
      <c r="E865" s="6" t="s">
        <v>1730</v>
      </c>
      <c r="F865" s="6" t="s">
        <v>378</v>
      </c>
      <c r="G865" s="7" t="s">
        <v>27</v>
      </c>
      <c r="H865" s="10" t="s">
        <v>389</v>
      </c>
      <c r="I865" s="7" t="s">
        <v>1756</v>
      </c>
      <c r="J865" s="6" t="s">
        <v>1281</v>
      </c>
      <c r="K865" s="6" t="n">
        <v>5</v>
      </c>
      <c r="L865" s="7" t="s">
        <v>1654</v>
      </c>
      <c r="M865" s="6" t="n">
        <v>63</v>
      </c>
      <c r="N865" s="7" t="s">
        <v>40</v>
      </c>
    </row>
    <row r="866" customFormat="false" ht="15" hidden="false" customHeight="false" outlineLevel="0" collapsed="false">
      <c r="A866" s="6" t="n">
        <v>865</v>
      </c>
      <c r="B866" s="7" t="s">
        <v>1276</v>
      </c>
      <c r="C866" s="7" t="s">
        <v>1757</v>
      </c>
      <c r="D866" s="8" t="s">
        <v>1758</v>
      </c>
      <c r="E866" s="7" t="s">
        <v>1759</v>
      </c>
      <c r="F866" s="6" t="s">
        <v>476</v>
      </c>
      <c r="G866" s="7" t="s">
        <v>43</v>
      </c>
      <c r="H866" s="7" t="s">
        <v>20</v>
      </c>
      <c r="I866" s="7" t="s">
        <v>21</v>
      </c>
      <c r="J866" s="6" t="s">
        <v>1281</v>
      </c>
      <c r="K866" s="6" t="n">
        <v>6</v>
      </c>
      <c r="L866" s="7" t="s">
        <v>1760</v>
      </c>
      <c r="M866" s="6" t="n">
        <v>1</v>
      </c>
      <c r="N866" s="7" t="s">
        <v>24</v>
      </c>
    </row>
    <row r="867" customFormat="false" ht="15" hidden="false" customHeight="false" outlineLevel="0" collapsed="false">
      <c r="A867" s="6" t="n">
        <v>866</v>
      </c>
      <c r="B867" s="7" t="s">
        <v>1276</v>
      </c>
      <c r="C867" s="7" t="s">
        <v>1757</v>
      </c>
      <c r="D867" s="8" t="s">
        <v>1761</v>
      </c>
      <c r="E867" s="7" t="s">
        <v>1762</v>
      </c>
      <c r="F867" s="6" t="s">
        <v>476</v>
      </c>
      <c r="G867" s="7" t="s">
        <v>43</v>
      </c>
      <c r="H867" s="7" t="s">
        <v>20</v>
      </c>
      <c r="I867" s="7" t="s">
        <v>1763</v>
      </c>
      <c r="J867" s="6" t="s">
        <v>1281</v>
      </c>
      <c r="K867" s="6" t="n">
        <v>6</v>
      </c>
      <c r="L867" s="7" t="s">
        <v>1760</v>
      </c>
      <c r="M867" s="6" t="n">
        <v>2</v>
      </c>
      <c r="N867" s="7" t="s">
        <v>24</v>
      </c>
    </row>
    <row r="868" customFormat="false" ht="15" hidden="false" customHeight="false" outlineLevel="0" collapsed="false">
      <c r="A868" s="6" t="n">
        <v>867</v>
      </c>
      <c r="B868" s="7" t="s">
        <v>1276</v>
      </c>
      <c r="C868" s="7" t="s">
        <v>1757</v>
      </c>
      <c r="D868" s="8" t="s">
        <v>1764</v>
      </c>
      <c r="E868" s="7" t="s">
        <v>1765</v>
      </c>
      <c r="F868" s="6" t="s">
        <v>476</v>
      </c>
      <c r="G868" s="7" t="s">
        <v>43</v>
      </c>
      <c r="H868" s="7" t="s">
        <v>20</v>
      </c>
      <c r="I868" s="7" t="s">
        <v>135</v>
      </c>
      <c r="J868" s="6" t="s">
        <v>1281</v>
      </c>
      <c r="K868" s="6" t="n">
        <v>6</v>
      </c>
      <c r="L868" s="7" t="s">
        <v>1760</v>
      </c>
      <c r="M868" s="6" t="n">
        <v>3</v>
      </c>
      <c r="N868" s="7" t="s">
        <v>24</v>
      </c>
    </row>
    <row r="869" customFormat="false" ht="29.85" hidden="false" customHeight="false" outlineLevel="0" collapsed="false">
      <c r="A869" s="6" t="n">
        <v>868</v>
      </c>
      <c r="B869" s="7" t="s">
        <v>1276</v>
      </c>
      <c r="C869" s="7" t="s">
        <v>1757</v>
      </c>
      <c r="D869" s="8" t="s">
        <v>1766</v>
      </c>
      <c r="E869" s="7" t="s">
        <v>1310</v>
      </c>
      <c r="F869" s="6" t="s">
        <v>476</v>
      </c>
      <c r="G869" s="7" t="s">
        <v>43</v>
      </c>
      <c r="H869" s="7" t="s">
        <v>20</v>
      </c>
      <c r="I869" s="7" t="s">
        <v>295</v>
      </c>
      <c r="J869" s="6" t="s">
        <v>1281</v>
      </c>
      <c r="K869" s="6" t="n">
        <v>6</v>
      </c>
      <c r="L869" s="7" t="s">
        <v>1760</v>
      </c>
      <c r="M869" s="6" t="n">
        <v>4</v>
      </c>
      <c r="N869" s="7" t="s">
        <v>24</v>
      </c>
    </row>
    <row r="870" customFormat="false" ht="15" hidden="false" customHeight="false" outlineLevel="0" collapsed="false">
      <c r="A870" s="6" t="n">
        <v>869</v>
      </c>
      <c r="B870" s="7" t="s">
        <v>1276</v>
      </c>
      <c r="C870" s="7" t="s">
        <v>1757</v>
      </c>
      <c r="D870" s="8" t="s">
        <v>1767</v>
      </c>
      <c r="E870" s="7" t="s">
        <v>1768</v>
      </c>
      <c r="F870" s="6" t="s">
        <v>37</v>
      </c>
      <c r="G870" s="7" t="s">
        <v>27</v>
      </c>
      <c r="H870" s="7" t="s">
        <v>38</v>
      </c>
      <c r="I870" s="7" t="s">
        <v>95</v>
      </c>
      <c r="J870" s="6" t="s">
        <v>1281</v>
      </c>
      <c r="K870" s="6" t="n">
        <v>6</v>
      </c>
      <c r="L870" s="7" t="s">
        <v>1760</v>
      </c>
      <c r="M870" s="6" t="n">
        <v>5</v>
      </c>
      <c r="N870" s="7" t="s">
        <v>40</v>
      </c>
    </row>
    <row r="871" customFormat="false" ht="15" hidden="false" customHeight="false" outlineLevel="0" collapsed="false">
      <c r="A871" s="6" t="n">
        <v>870</v>
      </c>
      <c r="B871" s="7" t="s">
        <v>1276</v>
      </c>
      <c r="C871" s="7" t="s">
        <v>1757</v>
      </c>
      <c r="D871" s="8" t="s">
        <v>1769</v>
      </c>
      <c r="E871" s="7" t="s">
        <v>1770</v>
      </c>
      <c r="F871" s="6" t="s">
        <v>37</v>
      </c>
      <c r="G871" s="7" t="s">
        <v>27</v>
      </c>
      <c r="H871" s="7" t="s">
        <v>38</v>
      </c>
      <c r="I871" s="7" t="s">
        <v>95</v>
      </c>
      <c r="J871" s="6" t="s">
        <v>1281</v>
      </c>
      <c r="K871" s="6" t="n">
        <v>6</v>
      </c>
      <c r="L871" s="7" t="s">
        <v>1760</v>
      </c>
      <c r="M871" s="6" t="n">
        <v>6</v>
      </c>
      <c r="N871" s="7" t="s">
        <v>40</v>
      </c>
    </row>
    <row r="872" customFormat="false" ht="15" hidden="false" customHeight="false" outlineLevel="0" collapsed="false">
      <c r="A872" s="6" t="n">
        <v>871</v>
      </c>
      <c r="B872" s="7" t="s">
        <v>1276</v>
      </c>
      <c r="C872" s="7" t="s">
        <v>1757</v>
      </c>
      <c r="D872" s="8" t="s">
        <v>1771</v>
      </c>
      <c r="E872" s="7" t="s">
        <v>1772</v>
      </c>
      <c r="F872" s="6" t="s">
        <v>37</v>
      </c>
      <c r="G872" s="7" t="s">
        <v>27</v>
      </c>
      <c r="H872" s="7" t="s">
        <v>38</v>
      </c>
      <c r="I872" s="7" t="s">
        <v>108</v>
      </c>
      <c r="J872" s="6" t="s">
        <v>1281</v>
      </c>
      <c r="K872" s="6" t="n">
        <v>6</v>
      </c>
      <c r="L872" s="7" t="s">
        <v>1760</v>
      </c>
      <c r="M872" s="6" t="n">
        <v>7</v>
      </c>
      <c r="N872" s="7" t="s">
        <v>40</v>
      </c>
    </row>
    <row r="873" customFormat="false" ht="15" hidden="false" customHeight="false" outlineLevel="0" collapsed="false">
      <c r="A873" s="6" t="n">
        <v>872</v>
      </c>
      <c r="B873" s="7" t="s">
        <v>1276</v>
      </c>
      <c r="C873" s="7" t="s">
        <v>1757</v>
      </c>
      <c r="D873" s="8" t="s">
        <v>1773</v>
      </c>
      <c r="E873" s="7" t="s">
        <v>1774</v>
      </c>
      <c r="F873" s="6" t="s">
        <v>37</v>
      </c>
      <c r="G873" s="7" t="s">
        <v>27</v>
      </c>
      <c r="H873" s="7" t="s">
        <v>38</v>
      </c>
      <c r="I873" s="7" t="s">
        <v>1096</v>
      </c>
      <c r="J873" s="6" t="s">
        <v>1281</v>
      </c>
      <c r="K873" s="6" t="n">
        <v>6</v>
      </c>
      <c r="L873" s="7" t="s">
        <v>1760</v>
      </c>
      <c r="M873" s="6" t="n">
        <v>8</v>
      </c>
      <c r="N873" s="7" t="s">
        <v>40</v>
      </c>
    </row>
    <row r="874" customFormat="false" ht="15" hidden="false" customHeight="false" outlineLevel="0" collapsed="false">
      <c r="A874" s="6" t="n">
        <v>873</v>
      </c>
      <c r="B874" s="7" t="s">
        <v>1276</v>
      </c>
      <c r="C874" s="7" t="s">
        <v>1757</v>
      </c>
      <c r="D874" s="8" t="s">
        <v>1775</v>
      </c>
      <c r="E874" s="6" t="s">
        <v>1776</v>
      </c>
      <c r="F874" s="6" t="s">
        <v>37</v>
      </c>
      <c r="G874" s="7" t="s">
        <v>27</v>
      </c>
      <c r="H874" s="7" t="s">
        <v>38</v>
      </c>
      <c r="I874" s="7" t="s">
        <v>793</v>
      </c>
      <c r="J874" s="6" t="s">
        <v>1281</v>
      </c>
      <c r="K874" s="6" t="n">
        <v>6</v>
      </c>
      <c r="L874" s="7" t="s">
        <v>1760</v>
      </c>
      <c r="M874" s="6" t="n">
        <v>9</v>
      </c>
      <c r="N874" s="7" t="s">
        <v>40</v>
      </c>
    </row>
    <row r="875" customFormat="false" ht="15" hidden="false" customHeight="false" outlineLevel="0" collapsed="false">
      <c r="A875" s="6" t="n">
        <v>874</v>
      </c>
      <c r="B875" s="7" t="s">
        <v>1276</v>
      </c>
      <c r="C875" s="7" t="s">
        <v>1757</v>
      </c>
      <c r="D875" s="8" t="s">
        <v>1777</v>
      </c>
      <c r="E875" s="6" t="s">
        <v>1778</v>
      </c>
      <c r="F875" s="6" t="s">
        <v>378</v>
      </c>
      <c r="G875" s="7" t="s">
        <v>27</v>
      </c>
      <c r="H875" s="7" t="s">
        <v>38</v>
      </c>
      <c r="I875" s="7" t="s">
        <v>793</v>
      </c>
      <c r="J875" s="6" t="s">
        <v>1281</v>
      </c>
      <c r="K875" s="6" t="n">
        <v>6</v>
      </c>
      <c r="L875" s="7" t="s">
        <v>1760</v>
      </c>
      <c r="M875" s="6" t="n">
        <v>10</v>
      </c>
      <c r="N875" s="7" t="s">
        <v>40</v>
      </c>
    </row>
    <row r="876" customFormat="false" ht="29.85" hidden="false" customHeight="false" outlineLevel="0" collapsed="false">
      <c r="A876" s="6" t="n">
        <v>875</v>
      </c>
      <c r="B876" s="7" t="s">
        <v>1276</v>
      </c>
      <c r="C876" s="7" t="s">
        <v>1757</v>
      </c>
      <c r="D876" s="8" t="s">
        <v>1779</v>
      </c>
      <c r="E876" s="7" t="s">
        <v>1757</v>
      </c>
      <c r="F876" s="6" t="s">
        <v>476</v>
      </c>
      <c r="G876" s="7" t="s">
        <v>43</v>
      </c>
      <c r="H876" s="7" t="s">
        <v>38</v>
      </c>
      <c r="I876" s="7" t="s">
        <v>292</v>
      </c>
      <c r="J876" s="6" t="s">
        <v>1281</v>
      </c>
      <c r="K876" s="6" t="n">
        <v>6</v>
      </c>
      <c r="L876" s="7" t="s">
        <v>1760</v>
      </c>
      <c r="M876" s="6" t="n">
        <v>11</v>
      </c>
      <c r="N876" s="7" t="s">
        <v>40</v>
      </c>
    </row>
    <row r="877" customFormat="false" ht="29.85" hidden="false" customHeight="false" outlineLevel="0" collapsed="false">
      <c r="A877" s="6" t="n">
        <v>876</v>
      </c>
      <c r="B877" s="7" t="s">
        <v>1276</v>
      </c>
      <c r="C877" s="7" t="s">
        <v>1757</v>
      </c>
      <c r="D877" s="8" t="s">
        <v>1780</v>
      </c>
      <c r="E877" s="7" t="s">
        <v>1757</v>
      </c>
      <c r="F877" s="6" t="s">
        <v>476</v>
      </c>
      <c r="G877" s="7" t="s">
        <v>43</v>
      </c>
      <c r="H877" s="7" t="s">
        <v>38</v>
      </c>
      <c r="I877" s="7" t="s">
        <v>720</v>
      </c>
      <c r="J877" s="6" t="s">
        <v>1281</v>
      </c>
      <c r="K877" s="6" t="n">
        <v>6</v>
      </c>
      <c r="L877" s="7" t="s">
        <v>1760</v>
      </c>
      <c r="M877" s="6" t="n">
        <v>12</v>
      </c>
      <c r="N877" s="7" t="s">
        <v>40</v>
      </c>
    </row>
    <row r="878" customFormat="false" ht="29.85" hidden="false" customHeight="false" outlineLevel="0" collapsed="false">
      <c r="A878" s="6" t="n">
        <v>877</v>
      </c>
      <c r="B878" s="7" t="s">
        <v>1276</v>
      </c>
      <c r="C878" s="7" t="s">
        <v>1757</v>
      </c>
      <c r="D878" s="8" t="s">
        <v>1781</v>
      </c>
      <c r="E878" s="7" t="s">
        <v>1782</v>
      </c>
      <c r="F878" s="6" t="s">
        <v>526</v>
      </c>
      <c r="G878" s="7" t="s">
        <v>43</v>
      </c>
      <c r="H878" s="7" t="s">
        <v>38</v>
      </c>
      <c r="I878" s="7" t="s">
        <v>565</v>
      </c>
      <c r="J878" s="6" t="s">
        <v>1281</v>
      </c>
      <c r="K878" s="6" t="n">
        <v>6</v>
      </c>
      <c r="L878" s="7" t="s">
        <v>1760</v>
      </c>
      <c r="M878" s="6" t="n">
        <v>13</v>
      </c>
      <c r="N878" s="7" t="s">
        <v>40</v>
      </c>
    </row>
    <row r="879" customFormat="false" ht="44" hidden="false" customHeight="false" outlineLevel="0" collapsed="false">
      <c r="A879" s="6" t="n">
        <v>878</v>
      </c>
      <c r="B879" s="7" t="s">
        <v>1276</v>
      </c>
      <c r="C879" s="7" t="s">
        <v>1757</v>
      </c>
      <c r="D879" s="8" t="s">
        <v>1783</v>
      </c>
      <c r="E879" s="7" t="s">
        <v>1784</v>
      </c>
      <c r="F879" s="6" t="s">
        <v>526</v>
      </c>
      <c r="G879" s="7" t="s">
        <v>43</v>
      </c>
      <c r="H879" s="7" t="s">
        <v>38</v>
      </c>
      <c r="I879" s="7" t="s">
        <v>1785</v>
      </c>
      <c r="J879" s="6" t="s">
        <v>1281</v>
      </c>
      <c r="K879" s="6" t="n">
        <v>6</v>
      </c>
      <c r="L879" s="7" t="s">
        <v>1760</v>
      </c>
      <c r="M879" s="6" t="n">
        <v>14</v>
      </c>
      <c r="N879" s="7" t="s">
        <v>40</v>
      </c>
    </row>
    <row r="880" customFormat="false" ht="44" hidden="false" customHeight="false" outlineLevel="0" collapsed="false">
      <c r="A880" s="6" t="n">
        <v>879</v>
      </c>
      <c r="B880" s="7" t="s">
        <v>1276</v>
      </c>
      <c r="C880" s="7" t="s">
        <v>1757</v>
      </c>
      <c r="D880" s="8" t="s">
        <v>1786</v>
      </c>
      <c r="E880" s="7" t="s">
        <v>1787</v>
      </c>
      <c r="F880" s="6" t="s">
        <v>476</v>
      </c>
      <c r="G880" s="7" t="s">
        <v>43</v>
      </c>
      <c r="H880" s="7" t="s">
        <v>38</v>
      </c>
      <c r="I880" s="7" t="s">
        <v>736</v>
      </c>
      <c r="J880" s="6" t="s">
        <v>1281</v>
      </c>
      <c r="K880" s="6" t="n">
        <v>6</v>
      </c>
      <c r="L880" s="7" t="s">
        <v>1760</v>
      </c>
      <c r="M880" s="6" t="n">
        <v>15</v>
      </c>
      <c r="N880" s="7" t="s">
        <v>40</v>
      </c>
    </row>
    <row r="881" customFormat="false" ht="15" hidden="false" customHeight="false" outlineLevel="0" collapsed="false">
      <c r="A881" s="6" t="n">
        <v>880</v>
      </c>
      <c r="B881" s="7" t="s">
        <v>1276</v>
      </c>
      <c r="C881" s="7" t="s">
        <v>1788</v>
      </c>
      <c r="D881" s="8" t="s">
        <v>1789</v>
      </c>
      <c r="E881" s="7" t="s">
        <v>1790</v>
      </c>
      <c r="F881" s="6" t="s">
        <v>476</v>
      </c>
      <c r="G881" s="7" t="s">
        <v>43</v>
      </c>
      <c r="H881" s="7" t="s">
        <v>20</v>
      </c>
      <c r="I881" s="7" t="s">
        <v>21</v>
      </c>
      <c r="J881" s="6" t="s">
        <v>1281</v>
      </c>
      <c r="K881" s="6" t="n">
        <v>7</v>
      </c>
      <c r="L881" s="7" t="s">
        <v>1791</v>
      </c>
      <c r="M881" s="6" t="n">
        <v>1</v>
      </c>
      <c r="N881" s="7" t="s">
        <v>24</v>
      </c>
    </row>
    <row r="882" customFormat="false" ht="15" hidden="false" customHeight="false" outlineLevel="0" collapsed="false">
      <c r="A882" s="6" t="n">
        <v>881</v>
      </c>
      <c r="B882" s="7" t="s">
        <v>1792</v>
      </c>
      <c r="C882" s="7" t="s">
        <v>1793</v>
      </c>
      <c r="D882" s="8" t="s">
        <v>1794</v>
      </c>
      <c r="E882" s="7" t="s">
        <v>1795</v>
      </c>
      <c r="F882" s="6" t="s">
        <v>760</v>
      </c>
      <c r="G882" s="7" t="s">
        <v>27</v>
      </c>
      <c r="H882" s="7" t="s">
        <v>20</v>
      </c>
      <c r="I882" s="7" t="s">
        <v>1288</v>
      </c>
      <c r="J882" s="6" t="s">
        <v>1281</v>
      </c>
      <c r="K882" s="6" t="n">
        <v>8</v>
      </c>
      <c r="L882" s="7" t="s">
        <v>1796</v>
      </c>
      <c r="M882" s="6" t="n">
        <v>1</v>
      </c>
      <c r="N882" s="7" t="s">
        <v>24</v>
      </c>
    </row>
    <row r="883" customFormat="false" ht="15" hidden="false" customHeight="false" outlineLevel="0" collapsed="false">
      <c r="A883" s="6" t="n">
        <v>882</v>
      </c>
      <c r="B883" s="7" t="s">
        <v>1792</v>
      </c>
      <c r="C883" s="7" t="s">
        <v>1793</v>
      </c>
      <c r="D883" s="8" t="s">
        <v>1797</v>
      </c>
      <c r="E883" s="7" t="s">
        <v>1798</v>
      </c>
      <c r="F883" s="6" t="s">
        <v>31</v>
      </c>
      <c r="G883" s="7" t="s">
        <v>27</v>
      </c>
      <c r="H883" s="7" t="s">
        <v>20</v>
      </c>
      <c r="I883" s="7" t="s">
        <v>1291</v>
      </c>
      <c r="J883" s="6" t="s">
        <v>1281</v>
      </c>
      <c r="K883" s="6" t="n">
        <v>8</v>
      </c>
      <c r="L883" s="7" t="s">
        <v>1796</v>
      </c>
      <c r="M883" s="6" t="n">
        <v>2</v>
      </c>
      <c r="N883" s="7" t="s">
        <v>24</v>
      </c>
    </row>
    <row r="884" customFormat="false" ht="15" hidden="false" customHeight="false" outlineLevel="0" collapsed="false">
      <c r="A884" s="6" t="n">
        <v>883</v>
      </c>
      <c r="B884" s="7" t="s">
        <v>1792</v>
      </c>
      <c r="C884" s="7" t="s">
        <v>1799</v>
      </c>
      <c r="D884" s="8" t="s">
        <v>1800</v>
      </c>
      <c r="E884" s="7" t="s">
        <v>1792</v>
      </c>
      <c r="F884" s="6" t="s">
        <v>26</v>
      </c>
      <c r="G884" s="7" t="s">
        <v>27</v>
      </c>
      <c r="H884" s="7" t="s">
        <v>20</v>
      </c>
      <c r="I884" s="7" t="s">
        <v>28</v>
      </c>
      <c r="J884" s="6" t="s">
        <v>1281</v>
      </c>
      <c r="K884" s="6" t="n">
        <v>8</v>
      </c>
      <c r="L884" s="7" t="s">
        <v>1796</v>
      </c>
      <c r="M884" s="6" t="n">
        <v>3</v>
      </c>
      <c r="N884" s="7" t="s">
        <v>24</v>
      </c>
    </row>
    <row r="885" customFormat="false" ht="15" hidden="false" customHeight="false" outlineLevel="0" collapsed="false">
      <c r="A885" s="3" t="n">
        <v>884</v>
      </c>
      <c r="B885" s="4" t="s">
        <v>1792</v>
      </c>
      <c r="C885" s="4" t="s">
        <v>1793</v>
      </c>
      <c r="D885" s="5" t="s">
        <v>1801</v>
      </c>
      <c r="E885" s="4" t="s">
        <v>1802</v>
      </c>
      <c r="F885" s="3" t="s">
        <v>476</v>
      </c>
      <c r="G885" s="4" t="s">
        <v>19</v>
      </c>
      <c r="H885" s="4" t="s">
        <v>20</v>
      </c>
      <c r="I885" s="4" t="s">
        <v>527</v>
      </c>
      <c r="J885" s="6" t="s">
        <v>1281</v>
      </c>
      <c r="K885" s="6" t="n">
        <v>8</v>
      </c>
      <c r="L885" s="7" t="s">
        <v>1796</v>
      </c>
      <c r="M885" s="6" t="n">
        <v>4</v>
      </c>
      <c r="N885" s="7" t="s">
        <v>24</v>
      </c>
    </row>
    <row r="886" customFormat="false" ht="15" hidden="false" customHeight="false" outlineLevel="0" collapsed="false">
      <c r="A886" s="6" t="n">
        <v>885</v>
      </c>
      <c r="B886" s="7" t="s">
        <v>1792</v>
      </c>
      <c r="C886" s="7" t="s">
        <v>1793</v>
      </c>
      <c r="D886" s="8" t="s">
        <v>1803</v>
      </c>
      <c r="E886" s="7" t="s">
        <v>1804</v>
      </c>
      <c r="F886" s="6" t="s">
        <v>37</v>
      </c>
      <c r="G886" s="7" t="s">
        <v>27</v>
      </c>
      <c r="H886" s="7" t="s">
        <v>38</v>
      </c>
      <c r="I886" s="7" t="s">
        <v>72</v>
      </c>
      <c r="J886" s="6" t="s">
        <v>1281</v>
      </c>
      <c r="K886" s="6" t="n">
        <v>8</v>
      </c>
      <c r="L886" s="7" t="s">
        <v>1796</v>
      </c>
      <c r="M886" s="6" t="n">
        <v>5</v>
      </c>
      <c r="N886" s="7" t="s">
        <v>40</v>
      </c>
    </row>
    <row r="887" customFormat="false" ht="29.85" hidden="false" customHeight="false" outlineLevel="0" collapsed="false">
      <c r="A887" s="6" t="n">
        <v>886</v>
      </c>
      <c r="B887" s="7" t="s">
        <v>1792</v>
      </c>
      <c r="C887" s="7" t="s">
        <v>1793</v>
      </c>
      <c r="D887" s="9" t="s">
        <v>1805</v>
      </c>
      <c r="E887" s="7" t="s">
        <v>1795</v>
      </c>
      <c r="F887" s="6" t="s">
        <v>760</v>
      </c>
      <c r="G887" s="7" t="s">
        <v>27</v>
      </c>
      <c r="H887" s="7" t="s">
        <v>20</v>
      </c>
      <c r="I887" s="7" t="s">
        <v>289</v>
      </c>
      <c r="J887" s="6" t="s">
        <v>1281</v>
      </c>
      <c r="K887" s="6" t="n">
        <v>8</v>
      </c>
      <c r="L887" s="7" t="s">
        <v>1796</v>
      </c>
      <c r="M887" s="6" t="n">
        <v>6</v>
      </c>
      <c r="N887" s="7" t="s">
        <v>24</v>
      </c>
    </row>
    <row r="888" customFormat="false" ht="15" hidden="false" customHeight="false" outlineLevel="0" collapsed="false">
      <c r="A888" s="6" t="n">
        <v>887</v>
      </c>
      <c r="B888" s="7" t="s">
        <v>1792</v>
      </c>
      <c r="C888" s="7" t="s">
        <v>1793</v>
      </c>
      <c r="D888" s="8" t="s">
        <v>1806</v>
      </c>
      <c r="E888" s="6" t="s">
        <v>1807</v>
      </c>
      <c r="F888" s="6" t="s">
        <v>378</v>
      </c>
      <c r="G888" s="7" t="s">
        <v>27</v>
      </c>
      <c r="H888" s="7" t="s">
        <v>38</v>
      </c>
      <c r="I888" s="7" t="s">
        <v>83</v>
      </c>
      <c r="J888" s="6" t="s">
        <v>1281</v>
      </c>
      <c r="K888" s="6" t="n">
        <v>8</v>
      </c>
      <c r="L888" s="7" t="s">
        <v>1796</v>
      </c>
      <c r="M888" s="6" t="n">
        <v>7</v>
      </c>
      <c r="N888" s="7" t="s">
        <v>40</v>
      </c>
    </row>
    <row r="889" customFormat="false" ht="15" hidden="false" customHeight="false" outlineLevel="0" collapsed="false">
      <c r="A889" s="6" t="n">
        <v>888</v>
      </c>
      <c r="B889" s="7" t="s">
        <v>1792</v>
      </c>
      <c r="C889" s="7" t="s">
        <v>1793</v>
      </c>
      <c r="D889" s="8" t="s">
        <v>1808</v>
      </c>
      <c r="E889" s="9" t="s">
        <v>1809</v>
      </c>
      <c r="F889" s="6" t="s">
        <v>37</v>
      </c>
      <c r="G889" s="7" t="s">
        <v>27</v>
      </c>
      <c r="H889" s="7" t="s">
        <v>38</v>
      </c>
      <c r="I889" s="7" t="s">
        <v>83</v>
      </c>
      <c r="J889" s="6" t="s">
        <v>1281</v>
      </c>
      <c r="K889" s="6" t="n">
        <v>8</v>
      </c>
      <c r="L889" s="7" t="s">
        <v>1796</v>
      </c>
      <c r="M889" s="6" t="n">
        <v>8</v>
      </c>
      <c r="N889" s="7" t="s">
        <v>40</v>
      </c>
    </row>
    <row r="890" customFormat="false" ht="15" hidden="false" customHeight="false" outlineLevel="0" collapsed="false">
      <c r="A890" s="6" t="n">
        <v>889</v>
      </c>
      <c r="B890" s="7" t="s">
        <v>1792</v>
      </c>
      <c r="C890" s="7" t="s">
        <v>1793</v>
      </c>
      <c r="D890" s="8" t="s">
        <v>1810</v>
      </c>
      <c r="E890" s="7" t="s">
        <v>1811</v>
      </c>
      <c r="F890" s="6" t="s">
        <v>37</v>
      </c>
      <c r="G890" s="7" t="s">
        <v>27</v>
      </c>
      <c r="H890" s="7" t="s">
        <v>38</v>
      </c>
      <c r="I890" s="7" t="s">
        <v>95</v>
      </c>
      <c r="J890" s="6" t="s">
        <v>1281</v>
      </c>
      <c r="K890" s="6" t="n">
        <v>8</v>
      </c>
      <c r="L890" s="7" t="s">
        <v>1796</v>
      </c>
      <c r="M890" s="6" t="n">
        <v>9</v>
      </c>
      <c r="N890" s="7" t="s">
        <v>40</v>
      </c>
    </row>
    <row r="891" customFormat="false" ht="15" hidden="false" customHeight="false" outlineLevel="0" collapsed="false">
      <c r="A891" s="6" t="n">
        <v>890</v>
      </c>
      <c r="B891" s="7" t="s">
        <v>1792</v>
      </c>
      <c r="C891" s="7" t="s">
        <v>1793</v>
      </c>
      <c r="D891" s="8" t="s">
        <v>1812</v>
      </c>
      <c r="E891" s="6" t="s">
        <v>1813</v>
      </c>
      <c r="F891" s="6" t="s">
        <v>378</v>
      </c>
      <c r="G891" s="7" t="s">
        <v>27</v>
      </c>
      <c r="H891" s="7" t="s">
        <v>38</v>
      </c>
      <c r="I891" s="7" t="s">
        <v>108</v>
      </c>
      <c r="J891" s="6" t="s">
        <v>1281</v>
      </c>
      <c r="K891" s="6" t="n">
        <v>8</v>
      </c>
      <c r="L891" s="7" t="s">
        <v>1796</v>
      </c>
      <c r="M891" s="6" t="n">
        <v>10</v>
      </c>
      <c r="N891" s="7" t="s">
        <v>40</v>
      </c>
    </row>
    <row r="892" customFormat="false" ht="15" hidden="false" customHeight="false" outlineLevel="0" collapsed="false">
      <c r="A892" s="6" t="n">
        <v>891</v>
      </c>
      <c r="B892" s="7" t="s">
        <v>1792</v>
      </c>
      <c r="C892" s="7" t="s">
        <v>1793</v>
      </c>
      <c r="D892" s="8" t="s">
        <v>1814</v>
      </c>
      <c r="E892" s="7" t="s">
        <v>1815</v>
      </c>
      <c r="F892" s="6" t="s">
        <v>82</v>
      </c>
      <c r="G892" s="7" t="s">
        <v>27</v>
      </c>
      <c r="H892" s="7" t="s">
        <v>38</v>
      </c>
      <c r="I892" s="7" t="s">
        <v>410</v>
      </c>
      <c r="J892" s="6" t="s">
        <v>1281</v>
      </c>
      <c r="K892" s="6" t="n">
        <v>8</v>
      </c>
      <c r="L892" s="7" t="s">
        <v>1796</v>
      </c>
      <c r="M892" s="6" t="n">
        <v>11</v>
      </c>
      <c r="N892" s="7" t="s">
        <v>40</v>
      </c>
    </row>
    <row r="893" customFormat="false" ht="15" hidden="false" customHeight="false" outlineLevel="0" collapsed="false">
      <c r="A893" s="6" t="n">
        <v>892</v>
      </c>
      <c r="B893" s="7" t="s">
        <v>1792</v>
      </c>
      <c r="C893" s="7" t="s">
        <v>1816</v>
      </c>
      <c r="D893" s="8" t="s">
        <v>1817</v>
      </c>
      <c r="E893" s="7" t="s">
        <v>1818</v>
      </c>
      <c r="F893" s="6" t="s">
        <v>31</v>
      </c>
      <c r="G893" s="7" t="s">
        <v>27</v>
      </c>
      <c r="H893" s="7" t="s">
        <v>20</v>
      </c>
      <c r="I893" s="7" t="s">
        <v>210</v>
      </c>
      <c r="J893" s="6" t="s">
        <v>1281</v>
      </c>
      <c r="K893" s="6" t="n">
        <v>9</v>
      </c>
      <c r="L893" s="7" t="s">
        <v>1819</v>
      </c>
      <c r="M893" s="6" t="n">
        <v>1</v>
      </c>
      <c r="N893" s="7" t="s">
        <v>24</v>
      </c>
    </row>
    <row r="894" customFormat="false" ht="15" hidden="false" customHeight="false" outlineLevel="0" collapsed="false">
      <c r="A894" s="6" t="n">
        <v>893</v>
      </c>
      <c r="B894" s="7" t="s">
        <v>1792</v>
      </c>
      <c r="C894" s="7" t="s">
        <v>1816</v>
      </c>
      <c r="D894" s="8" t="s">
        <v>1820</v>
      </c>
      <c r="E894" s="7" t="s">
        <v>1819</v>
      </c>
      <c r="F894" s="6" t="s">
        <v>760</v>
      </c>
      <c r="G894" s="7" t="s">
        <v>27</v>
      </c>
      <c r="H894" s="7" t="s">
        <v>20</v>
      </c>
      <c r="I894" s="7" t="s">
        <v>757</v>
      </c>
      <c r="J894" s="6" t="s">
        <v>1281</v>
      </c>
      <c r="K894" s="6" t="n">
        <v>9</v>
      </c>
      <c r="L894" s="7" t="s">
        <v>1819</v>
      </c>
      <c r="M894" s="6" t="n">
        <v>2</v>
      </c>
      <c r="N894" s="7" t="s">
        <v>24</v>
      </c>
    </row>
    <row r="895" customFormat="false" ht="15" hidden="false" customHeight="false" outlineLevel="0" collapsed="false">
      <c r="A895" s="6" t="n">
        <v>894</v>
      </c>
      <c r="B895" s="7" t="s">
        <v>1792</v>
      </c>
      <c r="C895" s="7" t="s">
        <v>1816</v>
      </c>
      <c r="D895" s="8" t="s">
        <v>1821</v>
      </c>
      <c r="E895" s="7" t="s">
        <v>1822</v>
      </c>
      <c r="F895" s="6" t="s">
        <v>760</v>
      </c>
      <c r="G895" s="7" t="s">
        <v>43</v>
      </c>
      <c r="H895" s="7" t="s">
        <v>20</v>
      </c>
      <c r="I895" s="7" t="s">
        <v>176</v>
      </c>
      <c r="J895" s="6" t="s">
        <v>1281</v>
      </c>
      <c r="K895" s="6" t="n">
        <v>9</v>
      </c>
      <c r="L895" s="7" t="s">
        <v>1819</v>
      </c>
      <c r="M895" s="6" t="n">
        <v>3</v>
      </c>
      <c r="N895" s="7" t="s">
        <v>24</v>
      </c>
    </row>
    <row r="896" customFormat="false" ht="15" hidden="false" customHeight="false" outlineLevel="0" collapsed="false">
      <c r="A896" s="6" t="n">
        <v>895</v>
      </c>
      <c r="B896" s="7" t="s">
        <v>1792</v>
      </c>
      <c r="C896" s="7" t="s">
        <v>1816</v>
      </c>
      <c r="D896" s="8" t="s">
        <v>1823</v>
      </c>
      <c r="E896" s="6" t="s">
        <v>1824</v>
      </c>
      <c r="F896" s="6" t="s">
        <v>378</v>
      </c>
      <c r="G896" s="7" t="s">
        <v>27</v>
      </c>
      <c r="H896" s="7" t="s">
        <v>38</v>
      </c>
      <c r="I896" s="7" t="s">
        <v>72</v>
      </c>
      <c r="J896" s="6" t="s">
        <v>1281</v>
      </c>
      <c r="K896" s="6" t="n">
        <v>9</v>
      </c>
      <c r="L896" s="7" t="s">
        <v>1819</v>
      </c>
      <c r="M896" s="6" t="n">
        <v>4</v>
      </c>
      <c r="N896" s="7" t="s">
        <v>40</v>
      </c>
    </row>
    <row r="897" customFormat="false" ht="15" hidden="false" customHeight="false" outlineLevel="0" collapsed="false">
      <c r="A897" s="6" t="n">
        <v>896</v>
      </c>
      <c r="B897" s="7" t="s">
        <v>1792</v>
      </c>
      <c r="C897" s="7" t="s">
        <v>1816</v>
      </c>
      <c r="D897" s="8" t="s">
        <v>1825</v>
      </c>
      <c r="E897" s="7" t="s">
        <v>1826</v>
      </c>
      <c r="F897" s="6" t="s">
        <v>37</v>
      </c>
      <c r="G897" s="7" t="s">
        <v>27</v>
      </c>
      <c r="H897" s="7" t="s">
        <v>38</v>
      </c>
      <c r="I897" s="7" t="s">
        <v>95</v>
      </c>
      <c r="J897" s="6" t="s">
        <v>1281</v>
      </c>
      <c r="K897" s="6" t="n">
        <v>9</v>
      </c>
      <c r="L897" s="7" t="s">
        <v>1819</v>
      </c>
      <c r="M897" s="6" t="n">
        <v>5</v>
      </c>
      <c r="N897" s="7" t="s">
        <v>40</v>
      </c>
    </row>
    <row r="898" customFormat="false" ht="15" hidden="false" customHeight="false" outlineLevel="0" collapsed="false">
      <c r="A898" s="6" t="n">
        <v>897</v>
      </c>
      <c r="B898" s="7" t="s">
        <v>1792</v>
      </c>
      <c r="C898" s="7" t="s">
        <v>1816</v>
      </c>
      <c r="D898" s="8" t="s">
        <v>1827</v>
      </c>
      <c r="E898" s="7" t="s">
        <v>1828</v>
      </c>
      <c r="F898" s="6" t="s">
        <v>37</v>
      </c>
      <c r="G898" s="7" t="s">
        <v>27</v>
      </c>
      <c r="H898" s="7" t="s">
        <v>38</v>
      </c>
      <c r="I898" s="7" t="s">
        <v>95</v>
      </c>
      <c r="J898" s="6" t="s">
        <v>1281</v>
      </c>
      <c r="K898" s="6" t="n">
        <v>9</v>
      </c>
      <c r="L898" s="7" t="s">
        <v>1819</v>
      </c>
      <c r="M898" s="6" t="n">
        <v>6</v>
      </c>
      <c r="N898" s="7" t="s">
        <v>40</v>
      </c>
    </row>
    <row r="899" customFormat="false" ht="15" hidden="false" customHeight="false" outlineLevel="0" collapsed="false">
      <c r="A899" s="6" t="n">
        <v>898</v>
      </c>
      <c r="B899" s="7" t="s">
        <v>1792</v>
      </c>
      <c r="C899" s="7" t="s">
        <v>1816</v>
      </c>
      <c r="D899" s="8" t="s">
        <v>1829</v>
      </c>
      <c r="E899" s="7" t="s">
        <v>1830</v>
      </c>
      <c r="F899" s="6" t="s">
        <v>37</v>
      </c>
      <c r="G899" s="7" t="s">
        <v>27</v>
      </c>
      <c r="H899" s="7" t="s">
        <v>38</v>
      </c>
      <c r="I899" s="7" t="s">
        <v>108</v>
      </c>
      <c r="J899" s="6" t="s">
        <v>1281</v>
      </c>
      <c r="K899" s="6" t="n">
        <v>9</v>
      </c>
      <c r="L899" s="7" t="s">
        <v>1819</v>
      </c>
      <c r="M899" s="6" t="n">
        <v>7</v>
      </c>
      <c r="N899" s="7" t="s">
        <v>40</v>
      </c>
    </row>
    <row r="900" customFormat="false" ht="15" hidden="false" customHeight="false" outlineLevel="0" collapsed="false">
      <c r="A900" s="6" t="n">
        <v>899</v>
      </c>
      <c r="B900" s="7" t="s">
        <v>1792</v>
      </c>
      <c r="C900" s="7" t="s">
        <v>1816</v>
      </c>
      <c r="D900" s="8" t="s">
        <v>1831</v>
      </c>
      <c r="E900" s="9" t="s">
        <v>1832</v>
      </c>
      <c r="F900" s="6" t="s">
        <v>37</v>
      </c>
      <c r="G900" s="7" t="s">
        <v>27</v>
      </c>
      <c r="H900" s="7" t="s">
        <v>38</v>
      </c>
      <c r="I900" s="7" t="s">
        <v>1096</v>
      </c>
      <c r="J900" s="6" t="s">
        <v>1281</v>
      </c>
      <c r="K900" s="6" t="n">
        <v>9</v>
      </c>
      <c r="L900" s="7" t="s">
        <v>1819</v>
      </c>
      <c r="M900" s="6" t="n">
        <v>8</v>
      </c>
      <c r="N900" s="7" t="s">
        <v>40</v>
      </c>
    </row>
    <row r="901" customFormat="false" ht="15" hidden="false" customHeight="false" outlineLevel="0" collapsed="false">
      <c r="A901" s="6" t="n">
        <v>900</v>
      </c>
      <c r="B901" s="7" t="s">
        <v>1792</v>
      </c>
      <c r="C901" s="7" t="s">
        <v>1816</v>
      </c>
      <c r="D901" s="8" t="s">
        <v>1833</v>
      </c>
      <c r="E901" s="7" t="s">
        <v>1834</v>
      </c>
      <c r="F901" s="6" t="s">
        <v>37</v>
      </c>
      <c r="G901" s="7" t="s">
        <v>27</v>
      </c>
      <c r="H901" s="7" t="s">
        <v>38</v>
      </c>
      <c r="I901" s="7" t="s">
        <v>793</v>
      </c>
      <c r="J901" s="6" t="s">
        <v>1281</v>
      </c>
      <c r="K901" s="6" t="n">
        <v>9</v>
      </c>
      <c r="L901" s="7" t="s">
        <v>1819</v>
      </c>
      <c r="M901" s="6" t="n">
        <v>9</v>
      </c>
      <c r="N901" s="7" t="s">
        <v>40</v>
      </c>
    </row>
    <row r="902" customFormat="false" ht="15" hidden="false" customHeight="false" outlineLevel="0" collapsed="false">
      <c r="A902" s="6" t="n">
        <v>901</v>
      </c>
      <c r="B902" s="7" t="s">
        <v>1792</v>
      </c>
      <c r="C902" s="7" t="s">
        <v>1816</v>
      </c>
      <c r="D902" s="8" t="s">
        <v>1835</v>
      </c>
      <c r="E902" s="7" t="s">
        <v>1836</v>
      </c>
      <c r="F902" s="6" t="s">
        <v>37</v>
      </c>
      <c r="G902" s="7" t="s">
        <v>27</v>
      </c>
      <c r="H902" s="7" t="s">
        <v>38</v>
      </c>
      <c r="I902" s="7" t="s">
        <v>559</v>
      </c>
      <c r="J902" s="6" t="s">
        <v>1281</v>
      </c>
      <c r="K902" s="6" t="n">
        <v>9</v>
      </c>
      <c r="L902" s="7" t="s">
        <v>1819</v>
      </c>
      <c r="M902" s="6" t="n">
        <v>10</v>
      </c>
      <c r="N902" s="7" t="s">
        <v>40</v>
      </c>
    </row>
    <row r="903" customFormat="false" ht="15" hidden="false" customHeight="false" outlineLevel="0" collapsed="false">
      <c r="A903" s="6" t="n">
        <v>902</v>
      </c>
      <c r="B903" s="7" t="s">
        <v>1792</v>
      </c>
      <c r="C903" s="7" t="s">
        <v>1816</v>
      </c>
      <c r="D903" s="8" t="s">
        <v>1837</v>
      </c>
      <c r="E903" s="7" t="s">
        <v>1838</v>
      </c>
      <c r="F903" s="6" t="s">
        <v>37</v>
      </c>
      <c r="G903" s="7" t="s">
        <v>27</v>
      </c>
      <c r="H903" s="7" t="s">
        <v>38</v>
      </c>
      <c r="I903" s="7" t="s">
        <v>410</v>
      </c>
      <c r="J903" s="6" t="s">
        <v>1281</v>
      </c>
      <c r="K903" s="6" t="n">
        <v>9</v>
      </c>
      <c r="L903" s="7" t="s">
        <v>1819</v>
      </c>
      <c r="M903" s="6" t="n">
        <v>11</v>
      </c>
      <c r="N903" s="7" t="s">
        <v>40</v>
      </c>
    </row>
    <row r="904" customFormat="false" ht="15" hidden="false" customHeight="false" outlineLevel="0" collapsed="false">
      <c r="A904" s="6" t="n">
        <v>903</v>
      </c>
      <c r="B904" s="7" t="s">
        <v>1792</v>
      </c>
      <c r="C904" s="7" t="s">
        <v>1816</v>
      </c>
      <c r="D904" s="8" t="s">
        <v>1839</v>
      </c>
      <c r="E904" s="7" t="s">
        <v>1840</v>
      </c>
      <c r="F904" s="6" t="s">
        <v>37</v>
      </c>
      <c r="G904" s="7" t="s">
        <v>27</v>
      </c>
      <c r="H904" s="7" t="s">
        <v>38</v>
      </c>
      <c r="I904" s="7" t="s">
        <v>39</v>
      </c>
      <c r="J904" s="6" t="s">
        <v>1281</v>
      </c>
      <c r="K904" s="6" t="n">
        <v>9</v>
      </c>
      <c r="L904" s="7" t="s">
        <v>1819</v>
      </c>
      <c r="M904" s="6" t="n">
        <v>12</v>
      </c>
      <c r="N904" s="7" t="s">
        <v>40</v>
      </c>
    </row>
    <row r="905" customFormat="false" ht="15" hidden="false" customHeight="false" outlineLevel="0" collapsed="false">
      <c r="A905" s="6" t="n">
        <v>904</v>
      </c>
      <c r="B905" s="7" t="s">
        <v>1792</v>
      </c>
      <c r="C905" s="7" t="s">
        <v>1816</v>
      </c>
      <c r="D905" s="8" t="s">
        <v>1841</v>
      </c>
      <c r="E905" s="6" t="s">
        <v>1842</v>
      </c>
      <c r="F905" s="6" t="s">
        <v>378</v>
      </c>
      <c r="G905" s="7" t="s">
        <v>27</v>
      </c>
      <c r="H905" s="7" t="s">
        <v>38</v>
      </c>
      <c r="I905" s="7" t="s">
        <v>360</v>
      </c>
      <c r="J905" s="6" t="s">
        <v>1281</v>
      </c>
      <c r="K905" s="6" t="n">
        <v>9</v>
      </c>
      <c r="L905" s="7" t="s">
        <v>1819</v>
      </c>
      <c r="M905" s="6" t="n">
        <v>13</v>
      </c>
      <c r="N905" s="7" t="s">
        <v>40</v>
      </c>
    </row>
    <row r="906" customFormat="false" ht="15" hidden="false" customHeight="false" outlineLevel="0" collapsed="false">
      <c r="A906" s="6" t="n">
        <v>905</v>
      </c>
      <c r="B906" s="7" t="s">
        <v>1792</v>
      </c>
      <c r="C906" s="7" t="s">
        <v>1816</v>
      </c>
      <c r="D906" s="9" t="s">
        <v>1843</v>
      </c>
      <c r="E906" s="7" t="s">
        <v>1844</v>
      </c>
      <c r="F906" s="6" t="s">
        <v>37</v>
      </c>
      <c r="G906" s="7" t="s">
        <v>27</v>
      </c>
      <c r="H906" s="7" t="s">
        <v>38</v>
      </c>
      <c r="I906" s="7" t="s">
        <v>963</v>
      </c>
      <c r="J906" s="6" t="s">
        <v>1281</v>
      </c>
      <c r="K906" s="6" t="n">
        <v>9</v>
      </c>
      <c r="L906" s="7" t="s">
        <v>1819</v>
      </c>
      <c r="M906" s="6" t="n">
        <v>14</v>
      </c>
      <c r="N906" s="7" t="s">
        <v>40</v>
      </c>
    </row>
    <row r="907" customFormat="false" ht="29.85" hidden="false" customHeight="false" outlineLevel="0" collapsed="false">
      <c r="A907" s="6" t="n">
        <v>906</v>
      </c>
      <c r="B907" s="7" t="s">
        <v>1792</v>
      </c>
      <c r="C907" s="7" t="s">
        <v>1816</v>
      </c>
      <c r="D907" s="8" t="s">
        <v>1845</v>
      </c>
      <c r="E907" s="7" t="s">
        <v>1846</v>
      </c>
      <c r="F907" s="6" t="s">
        <v>37</v>
      </c>
      <c r="G907" s="7" t="s">
        <v>27</v>
      </c>
      <c r="H907" s="7" t="s">
        <v>38</v>
      </c>
      <c r="I907" s="7" t="s">
        <v>415</v>
      </c>
      <c r="J907" s="6" t="s">
        <v>1281</v>
      </c>
      <c r="K907" s="6" t="n">
        <v>9</v>
      </c>
      <c r="L907" s="7" t="s">
        <v>1819</v>
      </c>
      <c r="M907" s="6" t="n">
        <v>15</v>
      </c>
      <c r="N907" s="7" t="s">
        <v>40</v>
      </c>
    </row>
    <row r="908" customFormat="false" ht="29.85" hidden="false" customHeight="false" outlineLevel="0" collapsed="false">
      <c r="A908" s="6" t="n">
        <v>907</v>
      </c>
      <c r="B908" s="7" t="s">
        <v>1792</v>
      </c>
      <c r="C908" s="7" t="s">
        <v>1816</v>
      </c>
      <c r="D908" s="8" t="s">
        <v>1847</v>
      </c>
      <c r="E908" s="8" t="s">
        <v>1848</v>
      </c>
      <c r="F908" s="6" t="s">
        <v>82</v>
      </c>
      <c r="G908" s="7" t="s">
        <v>27</v>
      </c>
      <c r="H908" s="10" t="s">
        <v>389</v>
      </c>
      <c r="I908" s="7" t="s">
        <v>916</v>
      </c>
      <c r="J908" s="6" t="s">
        <v>1281</v>
      </c>
      <c r="K908" s="6" t="n">
        <v>9</v>
      </c>
      <c r="L908" s="7" t="s">
        <v>1819</v>
      </c>
      <c r="M908" s="6" t="n">
        <v>16</v>
      </c>
      <c r="N908" s="7" t="s">
        <v>40</v>
      </c>
    </row>
    <row r="909" customFormat="false" ht="15" hidden="false" customHeight="false" outlineLevel="0" collapsed="false">
      <c r="A909" s="6" t="n">
        <v>908</v>
      </c>
      <c r="B909" s="7" t="s">
        <v>1792</v>
      </c>
      <c r="C909" s="7" t="s">
        <v>1849</v>
      </c>
      <c r="D909" s="8" t="s">
        <v>1850</v>
      </c>
      <c r="E909" s="7" t="s">
        <v>1851</v>
      </c>
      <c r="F909" s="6" t="s">
        <v>760</v>
      </c>
      <c r="G909" s="7" t="s">
        <v>27</v>
      </c>
      <c r="H909" s="7" t="s">
        <v>20</v>
      </c>
      <c r="I909" s="7" t="s">
        <v>527</v>
      </c>
      <c r="J909" s="6" t="s">
        <v>1281</v>
      </c>
      <c r="K909" s="6" t="n">
        <v>10</v>
      </c>
      <c r="L909" s="7" t="s">
        <v>1851</v>
      </c>
      <c r="M909" s="6" t="n">
        <v>1</v>
      </c>
      <c r="N909" s="7" t="s">
        <v>24</v>
      </c>
    </row>
    <row r="910" customFormat="false" ht="29.85" hidden="false" customHeight="false" outlineLevel="0" collapsed="false">
      <c r="A910" s="6" t="n">
        <v>909</v>
      </c>
      <c r="B910" s="7" t="s">
        <v>1792</v>
      </c>
      <c r="C910" s="7" t="s">
        <v>1849</v>
      </c>
      <c r="D910" s="8" t="s">
        <v>1852</v>
      </c>
      <c r="E910" s="7" t="s">
        <v>1851</v>
      </c>
      <c r="F910" s="6" t="s">
        <v>760</v>
      </c>
      <c r="G910" s="7" t="s">
        <v>27</v>
      </c>
      <c r="H910" s="7" t="s">
        <v>20</v>
      </c>
      <c r="I910" s="7" t="s">
        <v>114</v>
      </c>
      <c r="J910" s="6" t="s">
        <v>1281</v>
      </c>
      <c r="K910" s="6" t="n">
        <v>10</v>
      </c>
      <c r="L910" s="7" t="s">
        <v>1851</v>
      </c>
      <c r="M910" s="6" t="n">
        <v>2</v>
      </c>
      <c r="N910" s="7" t="s">
        <v>24</v>
      </c>
    </row>
    <row r="911" customFormat="false" ht="15" hidden="false" customHeight="false" outlineLevel="0" collapsed="false">
      <c r="A911" s="6" t="n">
        <v>910</v>
      </c>
      <c r="B911" s="7" t="s">
        <v>1792</v>
      </c>
      <c r="C911" s="7" t="s">
        <v>1849</v>
      </c>
      <c r="D911" s="8" t="s">
        <v>1853</v>
      </c>
      <c r="E911" s="7" t="s">
        <v>1854</v>
      </c>
      <c r="F911" s="6" t="s">
        <v>37</v>
      </c>
      <c r="G911" s="7" t="s">
        <v>27</v>
      </c>
      <c r="H911" s="7" t="s">
        <v>38</v>
      </c>
      <c r="I911" s="7" t="s">
        <v>1348</v>
      </c>
      <c r="J911" s="6" t="s">
        <v>1281</v>
      </c>
      <c r="K911" s="6" t="n">
        <v>10</v>
      </c>
      <c r="L911" s="7" t="s">
        <v>1851</v>
      </c>
      <c r="M911" s="6" t="n">
        <v>3</v>
      </c>
      <c r="N911" s="7" t="s">
        <v>40</v>
      </c>
    </row>
    <row r="912" customFormat="false" ht="15" hidden="false" customHeight="false" outlineLevel="0" collapsed="false">
      <c r="A912" s="6" t="n">
        <v>911</v>
      </c>
      <c r="B912" s="7" t="s">
        <v>1792</v>
      </c>
      <c r="C912" s="7" t="s">
        <v>1849</v>
      </c>
      <c r="D912" s="8" t="s">
        <v>1855</v>
      </c>
      <c r="E912" s="7" t="s">
        <v>1856</v>
      </c>
      <c r="F912" s="6" t="s">
        <v>37</v>
      </c>
      <c r="G912" s="7" t="s">
        <v>27</v>
      </c>
      <c r="H912" s="7" t="s">
        <v>38</v>
      </c>
      <c r="I912" s="7" t="s">
        <v>108</v>
      </c>
      <c r="J912" s="6" t="s">
        <v>1281</v>
      </c>
      <c r="K912" s="6" t="n">
        <v>10</v>
      </c>
      <c r="L912" s="7" t="s">
        <v>1851</v>
      </c>
      <c r="M912" s="6" t="n">
        <v>4</v>
      </c>
      <c r="N912" s="7" t="s">
        <v>40</v>
      </c>
    </row>
    <row r="913" customFormat="false" ht="15" hidden="false" customHeight="false" outlineLevel="0" collapsed="false">
      <c r="A913" s="6" t="n">
        <v>912</v>
      </c>
      <c r="B913" s="7" t="s">
        <v>1792</v>
      </c>
      <c r="C913" s="7" t="s">
        <v>1857</v>
      </c>
      <c r="D913" s="8" t="s">
        <v>1858</v>
      </c>
      <c r="E913" s="7" t="s">
        <v>284</v>
      </c>
      <c r="F913" s="6" t="s">
        <v>31</v>
      </c>
      <c r="G913" s="7" t="s">
        <v>27</v>
      </c>
      <c r="H913" s="7" t="s">
        <v>20</v>
      </c>
      <c r="I913" s="7" t="s">
        <v>21</v>
      </c>
      <c r="J913" s="6" t="s">
        <v>1281</v>
      </c>
      <c r="K913" s="6" t="n">
        <v>11</v>
      </c>
      <c r="L913" s="7" t="s">
        <v>1859</v>
      </c>
      <c r="M913" s="6" t="n">
        <v>1</v>
      </c>
      <c r="N913" s="7" t="s">
        <v>24</v>
      </c>
    </row>
    <row r="914" customFormat="false" ht="29.85" hidden="false" customHeight="false" outlineLevel="0" collapsed="false">
      <c r="A914" s="6" t="n">
        <v>913</v>
      </c>
      <c r="B914" s="7" t="s">
        <v>1792</v>
      </c>
      <c r="C914" s="7" t="s">
        <v>1857</v>
      </c>
      <c r="D914" s="8" t="s">
        <v>1860</v>
      </c>
      <c r="E914" s="7" t="s">
        <v>317</v>
      </c>
      <c r="F914" s="6" t="s">
        <v>18</v>
      </c>
      <c r="G914" s="7" t="s">
        <v>43</v>
      </c>
      <c r="H914" s="7" t="s">
        <v>20</v>
      </c>
      <c r="I914" s="7" t="s">
        <v>51</v>
      </c>
      <c r="J914" s="6" t="s">
        <v>1281</v>
      </c>
      <c r="K914" s="6" t="n">
        <v>11</v>
      </c>
      <c r="L914" s="7" t="s">
        <v>1859</v>
      </c>
      <c r="M914" s="6" t="n">
        <v>2</v>
      </c>
      <c r="N914" s="7" t="s">
        <v>24</v>
      </c>
    </row>
    <row r="915" customFormat="false" ht="15" hidden="false" customHeight="false" outlineLevel="0" collapsed="false">
      <c r="A915" s="6" t="n">
        <v>914</v>
      </c>
      <c r="B915" s="7" t="s">
        <v>1792</v>
      </c>
      <c r="C915" s="7" t="s">
        <v>1857</v>
      </c>
      <c r="D915" s="8" t="s">
        <v>1861</v>
      </c>
      <c r="E915" s="7" t="s">
        <v>1862</v>
      </c>
      <c r="F915" s="6" t="s">
        <v>760</v>
      </c>
      <c r="G915" s="7" t="s">
        <v>43</v>
      </c>
      <c r="H915" s="7" t="s">
        <v>38</v>
      </c>
      <c r="I915" s="7" t="s">
        <v>1348</v>
      </c>
      <c r="J915" s="6" t="s">
        <v>1281</v>
      </c>
      <c r="K915" s="6" t="n">
        <v>11</v>
      </c>
      <c r="L915" s="7" t="s">
        <v>1859</v>
      </c>
      <c r="M915" s="6" t="n">
        <v>3</v>
      </c>
      <c r="N915" s="7" t="s">
        <v>40</v>
      </c>
    </row>
    <row r="916" customFormat="false" ht="15" hidden="false" customHeight="false" outlineLevel="0" collapsed="false">
      <c r="A916" s="6" t="n">
        <v>915</v>
      </c>
      <c r="B916" s="7" t="s">
        <v>1792</v>
      </c>
      <c r="C916" s="7" t="s">
        <v>1857</v>
      </c>
      <c r="D916" s="8" t="s">
        <v>1863</v>
      </c>
      <c r="E916" s="7" t="s">
        <v>1864</v>
      </c>
      <c r="F916" s="6" t="s">
        <v>37</v>
      </c>
      <c r="G916" s="7" t="s">
        <v>27</v>
      </c>
      <c r="H916" s="7" t="s">
        <v>38</v>
      </c>
      <c r="I916" s="7" t="s">
        <v>95</v>
      </c>
      <c r="J916" s="6" t="s">
        <v>1281</v>
      </c>
      <c r="K916" s="6" t="n">
        <v>11</v>
      </c>
      <c r="L916" s="7" t="s">
        <v>1859</v>
      </c>
      <c r="M916" s="6" t="n">
        <v>4</v>
      </c>
      <c r="N916" s="7" t="s">
        <v>40</v>
      </c>
    </row>
    <row r="917" customFormat="false" ht="15" hidden="false" customHeight="false" outlineLevel="0" collapsed="false">
      <c r="A917" s="6" t="n">
        <v>916</v>
      </c>
      <c r="B917" s="7" t="s">
        <v>1792</v>
      </c>
      <c r="C917" s="7" t="s">
        <v>1857</v>
      </c>
      <c r="D917" s="8" t="s">
        <v>1865</v>
      </c>
      <c r="E917" s="6" t="s">
        <v>1866</v>
      </c>
      <c r="F917" s="6" t="s">
        <v>378</v>
      </c>
      <c r="G917" s="7" t="s">
        <v>27</v>
      </c>
      <c r="H917" s="7" t="s">
        <v>38</v>
      </c>
      <c r="I917" s="7" t="s">
        <v>410</v>
      </c>
      <c r="J917" s="6" t="s">
        <v>1281</v>
      </c>
      <c r="K917" s="6" t="n">
        <v>11</v>
      </c>
      <c r="L917" s="7" t="s">
        <v>1859</v>
      </c>
      <c r="M917" s="6" t="n">
        <v>5</v>
      </c>
      <c r="N917" s="7" t="s">
        <v>40</v>
      </c>
    </row>
    <row r="918" customFormat="false" ht="15" hidden="false" customHeight="false" outlineLevel="0" collapsed="false">
      <c r="A918" s="6" t="n">
        <v>917</v>
      </c>
      <c r="B918" s="7" t="s">
        <v>1792</v>
      </c>
      <c r="C918" s="7" t="s">
        <v>1857</v>
      </c>
      <c r="D918" s="8" t="s">
        <v>1867</v>
      </c>
      <c r="E918" s="7" t="s">
        <v>1868</v>
      </c>
      <c r="F918" s="6" t="s">
        <v>37</v>
      </c>
      <c r="G918" s="7" t="s">
        <v>27</v>
      </c>
      <c r="H918" s="7" t="s">
        <v>38</v>
      </c>
      <c r="I918" s="7" t="s">
        <v>39</v>
      </c>
      <c r="J918" s="6" t="s">
        <v>1281</v>
      </c>
      <c r="K918" s="6" t="n">
        <v>11</v>
      </c>
      <c r="L918" s="7" t="s">
        <v>1859</v>
      </c>
      <c r="M918" s="6" t="n">
        <v>6</v>
      </c>
      <c r="N918" s="7" t="s">
        <v>40</v>
      </c>
    </row>
    <row r="919" customFormat="false" ht="15" hidden="false" customHeight="false" outlineLevel="0" collapsed="false">
      <c r="A919" s="6" t="n">
        <v>918</v>
      </c>
      <c r="B919" s="7" t="s">
        <v>1792</v>
      </c>
      <c r="C919" s="7" t="s">
        <v>1869</v>
      </c>
      <c r="D919" s="8" t="s">
        <v>1870</v>
      </c>
      <c r="E919" s="7" t="s">
        <v>1871</v>
      </c>
      <c r="F919" s="6" t="s">
        <v>760</v>
      </c>
      <c r="G919" s="7" t="s">
        <v>43</v>
      </c>
      <c r="H919" s="7" t="s">
        <v>20</v>
      </c>
      <c r="I919" s="7" t="s">
        <v>210</v>
      </c>
      <c r="J919" s="6" t="s">
        <v>1281</v>
      </c>
      <c r="K919" s="6" t="n">
        <v>12</v>
      </c>
      <c r="L919" s="7" t="s">
        <v>1872</v>
      </c>
      <c r="M919" s="6" t="n">
        <v>1</v>
      </c>
      <c r="N919" s="7" t="s">
        <v>24</v>
      </c>
    </row>
    <row r="920" customFormat="false" ht="15" hidden="false" customHeight="false" outlineLevel="0" collapsed="false">
      <c r="A920" s="6" t="n">
        <v>919</v>
      </c>
      <c r="B920" s="7" t="s">
        <v>1792</v>
      </c>
      <c r="C920" s="7" t="s">
        <v>1869</v>
      </c>
      <c r="D920" s="8" t="s">
        <v>1873</v>
      </c>
      <c r="E920" s="7" t="s">
        <v>284</v>
      </c>
      <c r="F920" s="6" t="s">
        <v>31</v>
      </c>
      <c r="G920" s="7" t="s">
        <v>27</v>
      </c>
      <c r="H920" s="7" t="s">
        <v>20</v>
      </c>
      <c r="I920" s="7" t="s">
        <v>210</v>
      </c>
      <c r="J920" s="6" t="s">
        <v>1281</v>
      </c>
      <c r="K920" s="6" t="n">
        <v>12</v>
      </c>
      <c r="L920" s="7" t="s">
        <v>1872</v>
      </c>
      <c r="M920" s="6" t="n">
        <v>2</v>
      </c>
      <c r="N920" s="7" t="s">
        <v>24</v>
      </c>
    </row>
    <row r="921" customFormat="false" ht="15" hidden="false" customHeight="false" outlineLevel="0" collapsed="false">
      <c r="A921" s="6" t="n">
        <v>920</v>
      </c>
      <c r="B921" s="7" t="s">
        <v>1792</v>
      </c>
      <c r="C921" s="7" t="s">
        <v>1869</v>
      </c>
      <c r="D921" s="8" t="s">
        <v>1874</v>
      </c>
      <c r="E921" s="7" t="s">
        <v>1875</v>
      </c>
      <c r="F921" s="6" t="s">
        <v>760</v>
      </c>
      <c r="G921" s="7" t="s">
        <v>27</v>
      </c>
      <c r="H921" s="7" t="s">
        <v>20</v>
      </c>
      <c r="I921" s="7" t="s">
        <v>1291</v>
      </c>
      <c r="J921" s="6" t="s">
        <v>1281</v>
      </c>
      <c r="K921" s="6" t="n">
        <v>12</v>
      </c>
      <c r="L921" s="7" t="s">
        <v>1872</v>
      </c>
      <c r="M921" s="6" t="n">
        <v>3</v>
      </c>
      <c r="N921" s="7" t="s">
        <v>24</v>
      </c>
    </row>
    <row r="922" customFormat="false" ht="15" hidden="false" customHeight="false" outlineLevel="0" collapsed="false">
      <c r="A922" s="6" t="n">
        <v>921</v>
      </c>
      <c r="B922" s="7" t="s">
        <v>1792</v>
      </c>
      <c r="C922" s="7" t="s">
        <v>1869</v>
      </c>
      <c r="D922" s="8" t="s">
        <v>1876</v>
      </c>
      <c r="E922" s="7" t="s">
        <v>1877</v>
      </c>
      <c r="F922" s="6" t="s">
        <v>760</v>
      </c>
      <c r="G922" s="7" t="s">
        <v>43</v>
      </c>
      <c r="H922" s="7" t="s">
        <v>20</v>
      </c>
      <c r="I922" s="7" t="s">
        <v>1291</v>
      </c>
      <c r="J922" s="6" t="s">
        <v>1281</v>
      </c>
      <c r="K922" s="6" t="n">
        <v>12</v>
      </c>
      <c r="L922" s="7" t="s">
        <v>1872</v>
      </c>
      <c r="M922" s="6" t="n">
        <v>4</v>
      </c>
      <c r="N922" s="7" t="s">
        <v>24</v>
      </c>
    </row>
    <row r="923" customFormat="false" ht="15" hidden="false" customHeight="false" outlineLevel="0" collapsed="false">
      <c r="A923" s="6" t="n">
        <v>922</v>
      </c>
      <c r="B923" s="7" t="s">
        <v>1792</v>
      </c>
      <c r="C923" s="7" t="s">
        <v>1869</v>
      </c>
      <c r="D923" s="8" t="s">
        <v>1878</v>
      </c>
      <c r="E923" s="7" t="s">
        <v>1879</v>
      </c>
      <c r="F923" s="6" t="s">
        <v>82</v>
      </c>
      <c r="G923" s="7" t="s">
        <v>27</v>
      </c>
      <c r="H923" s="7" t="s">
        <v>38</v>
      </c>
      <c r="I923" s="7" t="s">
        <v>206</v>
      </c>
      <c r="J923" s="6" t="s">
        <v>1281</v>
      </c>
      <c r="K923" s="6" t="n">
        <v>12</v>
      </c>
      <c r="L923" s="7" t="s">
        <v>1872</v>
      </c>
      <c r="M923" s="6" t="n">
        <v>5</v>
      </c>
      <c r="N923" s="7" t="s">
        <v>40</v>
      </c>
    </row>
    <row r="924" customFormat="false" ht="15" hidden="false" customHeight="false" outlineLevel="0" collapsed="false">
      <c r="A924" s="6" t="n">
        <v>923</v>
      </c>
      <c r="B924" s="7" t="s">
        <v>1792</v>
      </c>
      <c r="C924" s="7" t="s">
        <v>1869</v>
      </c>
      <c r="D924" s="8" t="s">
        <v>1880</v>
      </c>
      <c r="E924" s="7" t="s">
        <v>1881</v>
      </c>
      <c r="F924" s="6" t="s">
        <v>31</v>
      </c>
      <c r="G924" s="7" t="s">
        <v>27</v>
      </c>
      <c r="H924" s="7" t="s">
        <v>20</v>
      </c>
      <c r="I924" s="7" t="s">
        <v>1291</v>
      </c>
      <c r="J924" s="6" t="s">
        <v>1281</v>
      </c>
      <c r="K924" s="6" t="n">
        <v>12</v>
      </c>
      <c r="L924" s="7" t="s">
        <v>1872</v>
      </c>
      <c r="M924" s="6" t="n">
        <v>6</v>
      </c>
      <c r="N924" s="7" t="s">
        <v>24</v>
      </c>
    </row>
    <row r="925" customFormat="false" ht="15" hidden="false" customHeight="false" outlineLevel="0" collapsed="false">
      <c r="A925" s="6" t="n">
        <v>924</v>
      </c>
      <c r="B925" s="7" t="s">
        <v>1792</v>
      </c>
      <c r="C925" s="7" t="s">
        <v>1869</v>
      </c>
      <c r="D925" s="8" t="s">
        <v>1882</v>
      </c>
      <c r="E925" s="7" t="s">
        <v>1871</v>
      </c>
      <c r="F925" s="6" t="s">
        <v>31</v>
      </c>
      <c r="G925" s="7" t="s">
        <v>43</v>
      </c>
      <c r="H925" s="7" t="s">
        <v>20</v>
      </c>
      <c r="I925" s="7" t="s">
        <v>28</v>
      </c>
      <c r="J925" s="6" t="s">
        <v>1281</v>
      </c>
      <c r="K925" s="6" t="n">
        <v>12</v>
      </c>
      <c r="L925" s="7" t="s">
        <v>1872</v>
      </c>
      <c r="M925" s="6" t="n">
        <v>7</v>
      </c>
      <c r="N925" s="7" t="s">
        <v>24</v>
      </c>
    </row>
    <row r="926" customFormat="false" ht="15" hidden="false" customHeight="false" outlineLevel="0" collapsed="false">
      <c r="A926" s="6" t="n">
        <v>925</v>
      </c>
      <c r="B926" s="7" t="s">
        <v>1792</v>
      </c>
      <c r="C926" s="7" t="s">
        <v>1869</v>
      </c>
      <c r="D926" s="8" t="s">
        <v>1883</v>
      </c>
      <c r="E926" s="7" t="s">
        <v>284</v>
      </c>
      <c r="F926" s="6" t="s">
        <v>31</v>
      </c>
      <c r="G926" s="7" t="s">
        <v>27</v>
      </c>
      <c r="H926" s="7" t="s">
        <v>20</v>
      </c>
      <c r="I926" s="7" t="s">
        <v>28</v>
      </c>
      <c r="J926" s="6" t="s">
        <v>1281</v>
      </c>
      <c r="K926" s="6" t="n">
        <v>12</v>
      </c>
      <c r="L926" s="7" t="s">
        <v>1872</v>
      </c>
      <c r="M926" s="6" t="n">
        <v>8</v>
      </c>
      <c r="N926" s="7" t="s">
        <v>24</v>
      </c>
    </row>
    <row r="927" customFormat="false" ht="15" hidden="false" customHeight="false" outlineLevel="0" collapsed="false">
      <c r="A927" s="6" t="n">
        <v>926</v>
      </c>
      <c r="B927" s="7" t="s">
        <v>1792</v>
      </c>
      <c r="C927" s="7" t="s">
        <v>1869</v>
      </c>
      <c r="D927" s="8" t="s">
        <v>1884</v>
      </c>
      <c r="E927" s="7" t="s">
        <v>1877</v>
      </c>
      <c r="F927" s="6" t="s">
        <v>31</v>
      </c>
      <c r="G927" s="7" t="s">
        <v>43</v>
      </c>
      <c r="H927" s="7" t="s">
        <v>20</v>
      </c>
      <c r="I927" s="7" t="s">
        <v>527</v>
      </c>
      <c r="J927" s="6" t="s">
        <v>1281</v>
      </c>
      <c r="K927" s="6" t="n">
        <v>12</v>
      </c>
      <c r="L927" s="7" t="s">
        <v>1872</v>
      </c>
      <c r="M927" s="6" t="n">
        <v>9</v>
      </c>
      <c r="N927" s="7" t="s">
        <v>24</v>
      </c>
    </row>
    <row r="928" customFormat="false" ht="15" hidden="false" customHeight="false" outlineLevel="0" collapsed="false">
      <c r="A928" s="6" t="n">
        <v>927</v>
      </c>
      <c r="B928" s="7" t="s">
        <v>1792</v>
      </c>
      <c r="C928" s="7" t="s">
        <v>1869</v>
      </c>
      <c r="D928" s="8" t="s">
        <v>1885</v>
      </c>
      <c r="E928" s="7" t="s">
        <v>1886</v>
      </c>
      <c r="F928" s="6" t="s">
        <v>82</v>
      </c>
      <c r="G928" s="7" t="s">
        <v>27</v>
      </c>
      <c r="H928" s="7" t="s">
        <v>38</v>
      </c>
      <c r="I928" s="7" t="s">
        <v>363</v>
      </c>
      <c r="J928" s="6" t="s">
        <v>1281</v>
      </c>
      <c r="K928" s="6" t="n">
        <v>12</v>
      </c>
      <c r="L928" s="7" t="s">
        <v>1872</v>
      </c>
      <c r="M928" s="6" t="n">
        <v>10</v>
      </c>
      <c r="N928" s="7" t="s">
        <v>40</v>
      </c>
    </row>
    <row r="929" customFormat="false" ht="15" hidden="false" customHeight="false" outlineLevel="0" collapsed="false">
      <c r="A929" s="6" t="n">
        <v>928</v>
      </c>
      <c r="B929" s="7" t="s">
        <v>1792</v>
      </c>
      <c r="C929" s="7" t="s">
        <v>1869</v>
      </c>
      <c r="D929" s="8" t="s">
        <v>1887</v>
      </c>
      <c r="E929" s="7" t="s">
        <v>1881</v>
      </c>
      <c r="F929" s="6" t="s">
        <v>31</v>
      </c>
      <c r="G929" s="7" t="s">
        <v>27</v>
      </c>
      <c r="H929" s="7" t="s">
        <v>20</v>
      </c>
      <c r="I929" s="7" t="s">
        <v>527</v>
      </c>
      <c r="J929" s="6" t="s">
        <v>1281</v>
      </c>
      <c r="K929" s="6" t="n">
        <v>12</v>
      </c>
      <c r="L929" s="7" t="s">
        <v>1872</v>
      </c>
      <c r="M929" s="6" t="n">
        <v>11</v>
      </c>
      <c r="N929" s="7" t="s">
        <v>24</v>
      </c>
    </row>
    <row r="930" customFormat="false" ht="15" hidden="false" customHeight="false" outlineLevel="0" collapsed="false">
      <c r="A930" s="6" t="n">
        <v>929</v>
      </c>
      <c r="B930" s="7" t="s">
        <v>1792</v>
      </c>
      <c r="C930" s="7" t="s">
        <v>1869</v>
      </c>
      <c r="D930" s="9" t="s">
        <v>1888</v>
      </c>
      <c r="E930" s="7" t="s">
        <v>1889</v>
      </c>
      <c r="F930" s="6" t="s">
        <v>760</v>
      </c>
      <c r="G930" s="7" t="s">
        <v>43</v>
      </c>
      <c r="H930" s="7" t="s">
        <v>20</v>
      </c>
      <c r="I930" s="7" t="s">
        <v>1890</v>
      </c>
      <c r="J930" s="6" t="s">
        <v>1281</v>
      </c>
      <c r="K930" s="6" t="n">
        <v>12</v>
      </c>
      <c r="L930" s="7" t="s">
        <v>1872</v>
      </c>
      <c r="M930" s="6" t="n">
        <v>12</v>
      </c>
      <c r="N930" s="7" t="s">
        <v>24</v>
      </c>
    </row>
    <row r="931" customFormat="false" ht="15" hidden="false" customHeight="false" outlineLevel="0" collapsed="false">
      <c r="A931" s="6" t="n">
        <v>930</v>
      </c>
      <c r="B931" s="7" t="s">
        <v>1792</v>
      </c>
      <c r="C931" s="7" t="s">
        <v>1869</v>
      </c>
      <c r="D931" s="9" t="s">
        <v>1891</v>
      </c>
      <c r="E931" s="7" t="s">
        <v>302</v>
      </c>
      <c r="F931" s="6" t="s">
        <v>31</v>
      </c>
      <c r="G931" s="7" t="s">
        <v>43</v>
      </c>
      <c r="H931" s="7" t="s">
        <v>20</v>
      </c>
      <c r="I931" s="7" t="s">
        <v>1890</v>
      </c>
      <c r="J931" s="6" t="s">
        <v>1281</v>
      </c>
      <c r="K931" s="6" t="n">
        <v>12</v>
      </c>
      <c r="L931" s="7" t="s">
        <v>1872</v>
      </c>
      <c r="M931" s="6" t="n">
        <v>13</v>
      </c>
      <c r="N931" s="7" t="s">
        <v>24</v>
      </c>
    </row>
    <row r="932" customFormat="false" ht="15" hidden="false" customHeight="false" outlineLevel="0" collapsed="false">
      <c r="A932" s="6" t="n">
        <v>931</v>
      </c>
      <c r="B932" s="7" t="s">
        <v>1792</v>
      </c>
      <c r="C932" s="7" t="s">
        <v>1869</v>
      </c>
      <c r="D932" s="8" t="s">
        <v>1892</v>
      </c>
      <c r="E932" s="7" t="s">
        <v>1893</v>
      </c>
      <c r="F932" s="6" t="s">
        <v>760</v>
      </c>
      <c r="G932" s="7" t="s">
        <v>27</v>
      </c>
      <c r="H932" s="7" t="s">
        <v>20</v>
      </c>
      <c r="I932" s="7" t="s">
        <v>32</v>
      </c>
      <c r="J932" s="6" t="s">
        <v>1281</v>
      </c>
      <c r="K932" s="6" t="n">
        <v>12</v>
      </c>
      <c r="L932" s="7" t="s">
        <v>1872</v>
      </c>
      <c r="M932" s="6" t="n">
        <v>14</v>
      </c>
      <c r="N932" s="7" t="s">
        <v>24</v>
      </c>
    </row>
    <row r="933" customFormat="false" ht="15" hidden="false" customHeight="false" outlineLevel="0" collapsed="false">
      <c r="A933" s="6" t="n">
        <v>932</v>
      </c>
      <c r="B933" s="7" t="s">
        <v>1792</v>
      </c>
      <c r="C933" s="7" t="s">
        <v>1869</v>
      </c>
      <c r="D933" s="8" t="s">
        <v>1894</v>
      </c>
      <c r="E933" s="6" t="s">
        <v>1895</v>
      </c>
      <c r="F933" s="6" t="s">
        <v>82</v>
      </c>
      <c r="G933" s="7" t="s">
        <v>27</v>
      </c>
      <c r="H933" s="7" t="s">
        <v>38</v>
      </c>
      <c r="I933" s="7" t="s">
        <v>588</v>
      </c>
      <c r="J933" s="6" t="s">
        <v>1281</v>
      </c>
      <c r="K933" s="6" t="n">
        <v>12</v>
      </c>
      <c r="L933" s="7" t="s">
        <v>1872</v>
      </c>
      <c r="M933" s="6" t="n">
        <v>15</v>
      </c>
      <c r="N933" s="7" t="s">
        <v>40</v>
      </c>
    </row>
    <row r="934" customFormat="false" ht="15" hidden="false" customHeight="false" outlineLevel="0" collapsed="false">
      <c r="A934" s="6" t="n">
        <v>933</v>
      </c>
      <c r="B934" s="7" t="s">
        <v>1792</v>
      </c>
      <c r="C934" s="7" t="s">
        <v>1869</v>
      </c>
      <c r="D934" s="8" t="s">
        <v>1896</v>
      </c>
      <c r="E934" s="7" t="s">
        <v>1871</v>
      </c>
      <c r="F934" s="6" t="s">
        <v>760</v>
      </c>
      <c r="G934" s="7" t="s">
        <v>43</v>
      </c>
      <c r="H934" s="7" t="s">
        <v>20</v>
      </c>
      <c r="I934" s="7" t="s">
        <v>34</v>
      </c>
      <c r="J934" s="6" t="s">
        <v>1281</v>
      </c>
      <c r="K934" s="6" t="n">
        <v>12</v>
      </c>
      <c r="L934" s="7" t="s">
        <v>1872</v>
      </c>
      <c r="M934" s="6" t="n">
        <v>16</v>
      </c>
      <c r="N934" s="7" t="s">
        <v>24</v>
      </c>
    </row>
    <row r="935" customFormat="false" ht="15" hidden="false" customHeight="false" outlineLevel="0" collapsed="false">
      <c r="A935" s="6" t="n">
        <v>934</v>
      </c>
      <c r="B935" s="7" t="s">
        <v>1792</v>
      </c>
      <c r="C935" s="7" t="s">
        <v>1869</v>
      </c>
      <c r="D935" s="8" t="s">
        <v>1897</v>
      </c>
      <c r="E935" s="7" t="s">
        <v>284</v>
      </c>
      <c r="F935" s="6" t="s">
        <v>31</v>
      </c>
      <c r="G935" s="7" t="s">
        <v>27</v>
      </c>
      <c r="H935" s="7" t="s">
        <v>20</v>
      </c>
      <c r="I935" s="7" t="s">
        <v>34</v>
      </c>
      <c r="J935" s="6" t="s">
        <v>1281</v>
      </c>
      <c r="K935" s="6" t="n">
        <v>12</v>
      </c>
      <c r="L935" s="7" t="s">
        <v>1872</v>
      </c>
      <c r="M935" s="6" t="n">
        <v>17</v>
      </c>
      <c r="N935" s="7" t="s">
        <v>24</v>
      </c>
    </row>
    <row r="936" customFormat="false" ht="15" hidden="false" customHeight="false" outlineLevel="0" collapsed="false">
      <c r="A936" s="6" t="n">
        <v>935</v>
      </c>
      <c r="B936" s="7" t="s">
        <v>1792</v>
      </c>
      <c r="C936" s="7" t="s">
        <v>1869</v>
      </c>
      <c r="D936" s="8" t="s">
        <v>1898</v>
      </c>
      <c r="E936" s="7" t="s">
        <v>1877</v>
      </c>
      <c r="F936" s="6" t="s">
        <v>760</v>
      </c>
      <c r="G936" s="7" t="s">
        <v>43</v>
      </c>
      <c r="H936" s="7" t="s">
        <v>20</v>
      </c>
      <c r="I936" s="7" t="s">
        <v>44</v>
      </c>
      <c r="J936" s="6" t="s">
        <v>1281</v>
      </c>
      <c r="K936" s="6" t="n">
        <v>12</v>
      </c>
      <c r="L936" s="7" t="s">
        <v>1872</v>
      </c>
      <c r="M936" s="6" t="n">
        <v>18</v>
      </c>
      <c r="N936" s="7" t="s">
        <v>24</v>
      </c>
    </row>
    <row r="937" customFormat="false" ht="15" hidden="false" customHeight="false" outlineLevel="0" collapsed="false">
      <c r="A937" s="6" t="n">
        <v>936</v>
      </c>
      <c r="B937" s="7" t="s">
        <v>1792</v>
      </c>
      <c r="C937" s="7" t="s">
        <v>1869</v>
      </c>
      <c r="D937" s="8" t="s">
        <v>1899</v>
      </c>
      <c r="E937" s="7" t="s">
        <v>1881</v>
      </c>
      <c r="F937" s="6" t="s">
        <v>31</v>
      </c>
      <c r="G937" s="7" t="s">
        <v>27</v>
      </c>
      <c r="H937" s="7" t="s">
        <v>20</v>
      </c>
      <c r="I937" s="7" t="s">
        <v>44</v>
      </c>
      <c r="J937" s="6" t="s">
        <v>1281</v>
      </c>
      <c r="K937" s="6" t="n">
        <v>12</v>
      </c>
      <c r="L937" s="7" t="s">
        <v>1872</v>
      </c>
      <c r="M937" s="6" t="n">
        <v>19</v>
      </c>
      <c r="N937" s="7" t="s">
        <v>24</v>
      </c>
    </row>
    <row r="938" customFormat="false" ht="15" hidden="false" customHeight="false" outlineLevel="0" collapsed="false">
      <c r="A938" s="6" t="n">
        <v>937</v>
      </c>
      <c r="B938" s="7" t="s">
        <v>1792</v>
      </c>
      <c r="C938" s="7" t="s">
        <v>1900</v>
      </c>
      <c r="D938" s="8" t="s">
        <v>1901</v>
      </c>
      <c r="E938" s="7" t="s">
        <v>1902</v>
      </c>
      <c r="F938" s="6" t="s">
        <v>26</v>
      </c>
      <c r="G938" s="7" t="s">
        <v>27</v>
      </c>
      <c r="H938" s="7" t="s">
        <v>20</v>
      </c>
      <c r="I938" s="7" t="s">
        <v>532</v>
      </c>
      <c r="J938" s="6" t="s">
        <v>1281</v>
      </c>
      <c r="K938" s="6" t="n">
        <v>13</v>
      </c>
      <c r="L938" s="7" t="s">
        <v>1903</v>
      </c>
      <c r="M938" s="6" t="n">
        <v>1</v>
      </c>
      <c r="N938" s="7" t="s">
        <v>24</v>
      </c>
    </row>
    <row r="939" customFormat="false" ht="15" hidden="false" customHeight="false" outlineLevel="0" collapsed="false">
      <c r="A939" s="6" t="n">
        <v>938</v>
      </c>
      <c r="B939" s="7" t="s">
        <v>1792</v>
      </c>
      <c r="C939" s="7" t="s">
        <v>1900</v>
      </c>
      <c r="D939" s="8" t="s">
        <v>1904</v>
      </c>
      <c r="E939" s="7" t="s">
        <v>1905</v>
      </c>
      <c r="F939" s="6" t="s">
        <v>26</v>
      </c>
      <c r="G939" s="7" t="s">
        <v>27</v>
      </c>
      <c r="H939" s="7" t="s">
        <v>20</v>
      </c>
      <c r="I939" s="7" t="s">
        <v>648</v>
      </c>
      <c r="J939" s="6" t="s">
        <v>1281</v>
      </c>
      <c r="K939" s="6" t="n">
        <v>13</v>
      </c>
      <c r="L939" s="7" t="s">
        <v>1903</v>
      </c>
      <c r="M939" s="6" t="n">
        <v>2</v>
      </c>
      <c r="N939" s="7" t="s">
        <v>24</v>
      </c>
    </row>
    <row r="940" customFormat="false" ht="15" hidden="false" customHeight="false" outlineLevel="0" collapsed="false">
      <c r="A940" s="6" t="n">
        <v>939</v>
      </c>
      <c r="B940" s="7" t="s">
        <v>1792</v>
      </c>
      <c r="C940" s="7" t="s">
        <v>1900</v>
      </c>
      <c r="D940" s="8" t="s">
        <v>1906</v>
      </c>
      <c r="E940" s="7" t="s">
        <v>1907</v>
      </c>
      <c r="F940" s="6" t="s">
        <v>26</v>
      </c>
      <c r="G940" s="7" t="s">
        <v>27</v>
      </c>
      <c r="H940" s="7" t="s">
        <v>20</v>
      </c>
      <c r="I940" s="7" t="s">
        <v>648</v>
      </c>
      <c r="J940" s="6" t="s">
        <v>1281</v>
      </c>
      <c r="K940" s="6" t="n">
        <v>13</v>
      </c>
      <c r="L940" s="7" t="s">
        <v>1903</v>
      </c>
      <c r="M940" s="6" t="n">
        <v>3</v>
      </c>
      <c r="N940" s="7" t="s">
        <v>24</v>
      </c>
    </row>
    <row r="941" customFormat="false" ht="15" hidden="false" customHeight="false" outlineLevel="0" collapsed="false">
      <c r="A941" s="6" t="n">
        <v>940</v>
      </c>
      <c r="B941" s="7" t="s">
        <v>1792</v>
      </c>
      <c r="C941" s="7" t="s">
        <v>1900</v>
      </c>
      <c r="D941" s="8" t="s">
        <v>1908</v>
      </c>
      <c r="E941" s="7" t="s">
        <v>1909</v>
      </c>
      <c r="F941" s="6" t="s">
        <v>26</v>
      </c>
      <c r="G941" s="7" t="s">
        <v>27</v>
      </c>
      <c r="H941" s="7" t="s">
        <v>20</v>
      </c>
      <c r="I941" s="7" t="s">
        <v>1062</v>
      </c>
      <c r="J941" s="6" t="s">
        <v>1281</v>
      </c>
      <c r="K941" s="6" t="n">
        <v>13</v>
      </c>
      <c r="L941" s="7" t="s">
        <v>1903</v>
      </c>
      <c r="M941" s="6" t="n">
        <v>4</v>
      </c>
      <c r="N941" s="7" t="s">
        <v>24</v>
      </c>
    </row>
    <row r="942" customFormat="false" ht="15" hidden="false" customHeight="false" outlineLevel="0" collapsed="false">
      <c r="A942" s="6" t="n">
        <v>941</v>
      </c>
      <c r="B942" s="7" t="s">
        <v>1792</v>
      </c>
      <c r="C942" s="7" t="s">
        <v>1900</v>
      </c>
      <c r="D942" s="8" t="s">
        <v>1910</v>
      </c>
      <c r="E942" s="7" t="s">
        <v>1911</v>
      </c>
      <c r="F942" s="6" t="s">
        <v>37</v>
      </c>
      <c r="G942" s="7" t="s">
        <v>27</v>
      </c>
      <c r="H942" s="7" t="s">
        <v>38</v>
      </c>
      <c r="I942" s="7" t="s">
        <v>72</v>
      </c>
      <c r="J942" s="6" t="s">
        <v>1281</v>
      </c>
      <c r="K942" s="6" t="n">
        <v>13</v>
      </c>
      <c r="L942" s="7" t="s">
        <v>1903</v>
      </c>
      <c r="M942" s="6" t="n">
        <v>5</v>
      </c>
      <c r="N942" s="7" t="s">
        <v>40</v>
      </c>
    </row>
    <row r="943" customFormat="false" ht="15" hidden="false" customHeight="false" outlineLevel="0" collapsed="false">
      <c r="A943" s="6" t="n">
        <v>942</v>
      </c>
      <c r="B943" s="7" t="s">
        <v>1792</v>
      </c>
      <c r="C943" s="7" t="s">
        <v>1900</v>
      </c>
      <c r="D943" s="8" t="s">
        <v>1912</v>
      </c>
      <c r="E943" s="7" t="s">
        <v>1913</v>
      </c>
      <c r="F943" s="6" t="s">
        <v>26</v>
      </c>
      <c r="G943" s="7" t="s">
        <v>43</v>
      </c>
      <c r="H943" s="7" t="s">
        <v>20</v>
      </c>
      <c r="I943" s="7" t="s">
        <v>172</v>
      </c>
      <c r="J943" s="6" t="s">
        <v>1281</v>
      </c>
      <c r="K943" s="6" t="n">
        <v>13</v>
      </c>
      <c r="L943" s="7" t="s">
        <v>1903</v>
      </c>
      <c r="M943" s="6" t="n">
        <v>6</v>
      </c>
      <c r="N943" s="7" t="s">
        <v>24</v>
      </c>
    </row>
    <row r="944" customFormat="false" ht="15" hidden="false" customHeight="false" outlineLevel="0" collapsed="false">
      <c r="A944" s="6" t="n">
        <v>943</v>
      </c>
      <c r="B944" s="7" t="s">
        <v>1792</v>
      </c>
      <c r="C944" s="7" t="s">
        <v>1900</v>
      </c>
      <c r="D944" s="8" t="s">
        <v>1914</v>
      </c>
      <c r="E944" s="7" t="s">
        <v>1915</v>
      </c>
      <c r="F944" s="6" t="s">
        <v>26</v>
      </c>
      <c r="G944" s="7" t="s">
        <v>43</v>
      </c>
      <c r="H944" s="7" t="s">
        <v>20</v>
      </c>
      <c r="I944" s="7" t="s">
        <v>1916</v>
      </c>
      <c r="J944" s="6" t="s">
        <v>1281</v>
      </c>
      <c r="K944" s="6" t="n">
        <v>13</v>
      </c>
      <c r="L944" s="7" t="s">
        <v>1903</v>
      </c>
      <c r="M944" s="6" t="n">
        <v>7</v>
      </c>
      <c r="N944" s="7" t="s">
        <v>24</v>
      </c>
    </row>
    <row r="945" customFormat="false" ht="15" hidden="false" customHeight="false" outlineLevel="0" collapsed="false">
      <c r="A945" s="6" t="n">
        <v>944</v>
      </c>
      <c r="B945" s="7" t="s">
        <v>1792</v>
      </c>
      <c r="C945" s="7" t="s">
        <v>1900</v>
      </c>
      <c r="D945" s="8" t="s">
        <v>1917</v>
      </c>
      <c r="E945" s="7" t="s">
        <v>1918</v>
      </c>
      <c r="F945" s="6" t="s">
        <v>26</v>
      </c>
      <c r="G945" s="7" t="s">
        <v>43</v>
      </c>
      <c r="H945" s="7" t="s">
        <v>20</v>
      </c>
      <c r="I945" s="7" t="s">
        <v>1916</v>
      </c>
      <c r="J945" s="6" t="s">
        <v>1281</v>
      </c>
      <c r="K945" s="6" t="n">
        <v>13</v>
      </c>
      <c r="L945" s="7" t="s">
        <v>1903</v>
      </c>
      <c r="M945" s="6" t="n">
        <v>8</v>
      </c>
      <c r="N945" s="7" t="s">
        <v>24</v>
      </c>
    </row>
    <row r="946" customFormat="false" ht="15" hidden="false" customHeight="false" outlineLevel="0" collapsed="false">
      <c r="A946" s="6" t="n">
        <v>945</v>
      </c>
      <c r="B946" s="7" t="s">
        <v>1792</v>
      </c>
      <c r="C946" s="7" t="s">
        <v>1900</v>
      </c>
      <c r="D946" s="8" t="s">
        <v>1919</v>
      </c>
      <c r="E946" s="7" t="s">
        <v>1920</v>
      </c>
      <c r="F946" s="6" t="s">
        <v>26</v>
      </c>
      <c r="G946" s="7" t="s">
        <v>43</v>
      </c>
      <c r="H946" s="7" t="s">
        <v>20</v>
      </c>
      <c r="I946" s="7" t="s">
        <v>1916</v>
      </c>
      <c r="J946" s="6" t="s">
        <v>1281</v>
      </c>
      <c r="K946" s="6" t="n">
        <v>13</v>
      </c>
      <c r="L946" s="7" t="s">
        <v>1903</v>
      </c>
      <c r="M946" s="6" t="n">
        <v>9</v>
      </c>
      <c r="N946" s="7" t="s">
        <v>24</v>
      </c>
    </row>
    <row r="947" customFormat="false" ht="15" hidden="false" customHeight="false" outlineLevel="0" collapsed="false">
      <c r="A947" s="6" t="n">
        <v>946</v>
      </c>
      <c r="B947" s="7" t="s">
        <v>1792</v>
      </c>
      <c r="C947" s="7" t="s">
        <v>1900</v>
      </c>
      <c r="D947" s="8" t="s">
        <v>1921</v>
      </c>
      <c r="E947" s="7" t="s">
        <v>1922</v>
      </c>
      <c r="F947" s="6" t="s">
        <v>37</v>
      </c>
      <c r="G947" s="7" t="s">
        <v>27</v>
      </c>
      <c r="H947" s="7" t="s">
        <v>38</v>
      </c>
      <c r="I947" s="7" t="s">
        <v>1348</v>
      </c>
      <c r="J947" s="6" t="s">
        <v>1281</v>
      </c>
      <c r="K947" s="6" t="n">
        <v>13</v>
      </c>
      <c r="L947" s="7" t="s">
        <v>1903</v>
      </c>
      <c r="M947" s="6" t="n">
        <v>10</v>
      </c>
      <c r="N947" s="7" t="s">
        <v>40</v>
      </c>
    </row>
    <row r="948" customFormat="false" ht="15" hidden="false" customHeight="false" outlineLevel="0" collapsed="false">
      <c r="A948" s="6" t="n">
        <v>947</v>
      </c>
      <c r="B948" s="7" t="s">
        <v>1792</v>
      </c>
      <c r="C948" s="7" t="s">
        <v>1900</v>
      </c>
      <c r="D948" s="8" t="s">
        <v>1923</v>
      </c>
      <c r="E948" s="7" t="s">
        <v>1924</v>
      </c>
      <c r="F948" s="6" t="s">
        <v>26</v>
      </c>
      <c r="G948" s="7" t="s">
        <v>43</v>
      </c>
      <c r="H948" s="7" t="s">
        <v>20</v>
      </c>
      <c r="I948" s="7" t="s">
        <v>1916</v>
      </c>
      <c r="J948" s="6" t="s">
        <v>1281</v>
      </c>
      <c r="K948" s="6" t="n">
        <v>13</v>
      </c>
      <c r="L948" s="7" t="s">
        <v>1903</v>
      </c>
      <c r="M948" s="6" t="n">
        <v>11</v>
      </c>
      <c r="N948" s="7" t="s">
        <v>24</v>
      </c>
    </row>
    <row r="949" customFormat="false" ht="15" hidden="false" customHeight="false" outlineLevel="0" collapsed="false">
      <c r="A949" s="6" t="n">
        <v>948</v>
      </c>
      <c r="B949" s="7" t="s">
        <v>1792</v>
      </c>
      <c r="C949" s="7" t="s">
        <v>1900</v>
      </c>
      <c r="D949" s="8" t="s">
        <v>1925</v>
      </c>
      <c r="E949" s="7" t="s">
        <v>1926</v>
      </c>
      <c r="F949" s="6" t="s">
        <v>26</v>
      </c>
      <c r="G949" s="7" t="s">
        <v>27</v>
      </c>
      <c r="H949" s="7" t="s">
        <v>20</v>
      </c>
      <c r="I949" s="7" t="s">
        <v>135</v>
      </c>
      <c r="J949" s="6" t="s">
        <v>1281</v>
      </c>
      <c r="K949" s="6" t="n">
        <v>13</v>
      </c>
      <c r="L949" s="7" t="s">
        <v>1903</v>
      </c>
      <c r="M949" s="6" t="n">
        <v>12</v>
      </c>
      <c r="N949" s="7" t="s">
        <v>24</v>
      </c>
    </row>
    <row r="950" customFormat="false" ht="15" hidden="false" customHeight="false" outlineLevel="0" collapsed="false">
      <c r="A950" s="6" t="n">
        <v>949</v>
      </c>
      <c r="B950" s="7" t="s">
        <v>1792</v>
      </c>
      <c r="C950" s="7" t="s">
        <v>1900</v>
      </c>
      <c r="D950" s="8" t="s">
        <v>1927</v>
      </c>
      <c r="E950" s="7" t="s">
        <v>1928</v>
      </c>
      <c r="F950" s="6" t="s">
        <v>26</v>
      </c>
      <c r="G950" s="7" t="s">
        <v>43</v>
      </c>
      <c r="H950" s="7" t="s">
        <v>20</v>
      </c>
      <c r="I950" s="7" t="s">
        <v>135</v>
      </c>
      <c r="J950" s="6" t="s">
        <v>1281</v>
      </c>
      <c r="K950" s="6" t="n">
        <v>13</v>
      </c>
      <c r="L950" s="7" t="s">
        <v>1903</v>
      </c>
      <c r="M950" s="6" t="n">
        <v>13</v>
      </c>
      <c r="N950" s="7" t="s">
        <v>24</v>
      </c>
    </row>
    <row r="951" customFormat="false" ht="15" hidden="false" customHeight="false" outlineLevel="0" collapsed="false">
      <c r="A951" s="6" t="n">
        <v>950</v>
      </c>
      <c r="B951" s="7" t="s">
        <v>1792</v>
      </c>
      <c r="C951" s="7" t="s">
        <v>1900</v>
      </c>
      <c r="D951" s="8" t="s">
        <v>1929</v>
      </c>
      <c r="E951" s="7" t="s">
        <v>1930</v>
      </c>
      <c r="F951" s="6" t="s">
        <v>26</v>
      </c>
      <c r="G951" s="7" t="s">
        <v>27</v>
      </c>
      <c r="H951" s="7" t="s">
        <v>20</v>
      </c>
      <c r="I951" s="7" t="s">
        <v>32</v>
      </c>
      <c r="J951" s="6" t="s">
        <v>1281</v>
      </c>
      <c r="K951" s="6" t="n">
        <v>13</v>
      </c>
      <c r="L951" s="7" t="s">
        <v>1903</v>
      </c>
      <c r="M951" s="6" t="n">
        <v>14</v>
      </c>
      <c r="N951" s="7" t="s">
        <v>24</v>
      </c>
    </row>
    <row r="952" customFormat="false" ht="15" hidden="false" customHeight="false" outlineLevel="0" collapsed="false">
      <c r="A952" s="6" t="n">
        <v>951</v>
      </c>
      <c r="B952" s="7" t="s">
        <v>1792</v>
      </c>
      <c r="C952" s="7" t="s">
        <v>1900</v>
      </c>
      <c r="D952" s="8" t="s">
        <v>1931</v>
      </c>
      <c r="E952" s="8" t="s">
        <v>1932</v>
      </c>
      <c r="F952" s="6" t="s">
        <v>37</v>
      </c>
      <c r="G952" s="7" t="s">
        <v>27</v>
      </c>
      <c r="H952" s="7" t="s">
        <v>38</v>
      </c>
      <c r="I952" s="7" t="s">
        <v>95</v>
      </c>
      <c r="J952" s="6" t="s">
        <v>1281</v>
      </c>
      <c r="K952" s="6" t="n">
        <v>13</v>
      </c>
      <c r="L952" s="7" t="s">
        <v>1903</v>
      </c>
      <c r="M952" s="6" t="n">
        <v>15</v>
      </c>
      <c r="N952" s="7" t="s">
        <v>40</v>
      </c>
    </row>
    <row r="953" customFormat="false" ht="15" hidden="false" customHeight="false" outlineLevel="0" collapsed="false">
      <c r="A953" s="6" t="n">
        <v>952</v>
      </c>
      <c r="B953" s="7" t="s">
        <v>1792</v>
      </c>
      <c r="C953" s="7" t="s">
        <v>1900</v>
      </c>
      <c r="D953" s="8" t="s">
        <v>1933</v>
      </c>
      <c r="E953" s="7" t="s">
        <v>1934</v>
      </c>
      <c r="F953" s="6" t="s">
        <v>26</v>
      </c>
      <c r="G953" s="7" t="s">
        <v>27</v>
      </c>
      <c r="H953" s="7" t="s">
        <v>20</v>
      </c>
      <c r="I953" s="7" t="s">
        <v>32</v>
      </c>
      <c r="J953" s="6" t="s">
        <v>1281</v>
      </c>
      <c r="K953" s="6" t="n">
        <v>13</v>
      </c>
      <c r="L953" s="7" t="s">
        <v>1903</v>
      </c>
      <c r="M953" s="6" t="n">
        <v>16</v>
      </c>
      <c r="N953" s="7" t="s">
        <v>24</v>
      </c>
    </row>
    <row r="954" customFormat="false" ht="15" hidden="false" customHeight="false" outlineLevel="0" collapsed="false">
      <c r="A954" s="6" t="n">
        <v>953</v>
      </c>
      <c r="B954" s="7" t="s">
        <v>1792</v>
      </c>
      <c r="C954" s="7" t="s">
        <v>1900</v>
      </c>
      <c r="D954" s="8" t="s">
        <v>1935</v>
      </c>
      <c r="E954" s="7" t="s">
        <v>1936</v>
      </c>
      <c r="F954" s="6" t="s">
        <v>26</v>
      </c>
      <c r="G954" s="7" t="s">
        <v>43</v>
      </c>
      <c r="H954" s="7" t="s">
        <v>20</v>
      </c>
      <c r="I954" s="7" t="s">
        <v>34</v>
      </c>
      <c r="J954" s="6" t="s">
        <v>1281</v>
      </c>
      <c r="K954" s="6" t="n">
        <v>13</v>
      </c>
      <c r="L954" s="7" t="s">
        <v>1903</v>
      </c>
      <c r="M954" s="6" t="n">
        <v>17</v>
      </c>
      <c r="N954" s="7" t="s">
        <v>24</v>
      </c>
    </row>
    <row r="955" customFormat="false" ht="15" hidden="false" customHeight="false" outlineLevel="0" collapsed="false">
      <c r="A955" s="6" t="n">
        <v>954</v>
      </c>
      <c r="B955" s="7" t="s">
        <v>1792</v>
      </c>
      <c r="C955" s="7" t="s">
        <v>1900</v>
      </c>
      <c r="D955" s="8" t="s">
        <v>1937</v>
      </c>
      <c r="E955" s="7" t="s">
        <v>1938</v>
      </c>
      <c r="F955" s="6" t="s">
        <v>26</v>
      </c>
      <c r="G955" s="7" t="s">
        <v>27</v>
      </c>
      <c r="H955" s="7" t="s">
        <v>20</v>
      </c>
      <c r="I955" s="7" t="s">
        <v>44</v>
      </c>
      <c r="J955" s="6" t="s">
        <v>1281</v>
      </c>
      <c r="K955" s="6" t="n">
        <v>13</v>
      </c>
      <c r="L955" s="7" t="s">
        <v>1903</v>
      </c>
      <c r="M955" s="6" t="n">
        <v>18</v>
      </c>
      <c r="N955" s="7" t="s">
        <v>24</v>
      </c>
    </row>
    <row r="956" customFormat="false" ht="15" hidden="false" customHeight="false" outlineLevel="0" collapsed="false">
      <c r="A956" s="6" t="n">
        <v>955</v>
      </c>
      <c r="B956" s="7" t="s">
        <v>1792</v>
      </c>
      <c r="C956" s="7" t="s">
        <v>1900</v>
      </c>
      <c r="D956" s="8" t="s">
        <v>1939</v>
      </c>
      <c r="E956" s="7" t="s">
        <v>1936</v>
      </c>
      <c r="F956" s="6" t="s">
        <v>26</v>
      </c>
      <c r="G956" s="7" t="s">
        <v>43</v>
      </c>
      <c r="H956" s="7" t="s">
        <v>20</v>
      </c>
      <c r="I956" s="7" t="s">
        <v>44</v>
      </c>
      <c r="J956" s="6" t="s">
        <v>1281</v>
      </c>
      <c r="K956" s="6" t="n">
        <v>13</v>
      </c>
      <c r="L956" s="7" t="s">
        <v>1903</v>
      </c>
      <c r="M956" s="6" t="n">
        <v>19</v>
      </c>
      <c r="N956" s="7" t="s">
        <v>24</v>
      </c>
    </row>
    <row r="957" customFormat="false" ht="15" hidden="false" customHeight="false" outlineLevel="0" collapsed="false">
      <c r="A957" s="6" t="n">
        <v>956</v>
      </c>
      <c r="B957" s="7" t="s">
        <v>1792</v>
      </c>
      <c r="C957" s="7" t="s">
        <v>1900</v>
      </c>
      <c r="D957" s="8" t="s">
        <v>1940</v>
      </c>
      <c r="E957" s="7" t="s">
        <v>1941</v>
      </c>
      <c r="F957" s="6" t="s">
        <v>37</v>
      </c>
      <c r="G957" s="7" t="s">
        <v>27</v>
      </c>
      <c r="H957" s="7" t="s">
        <v>38</v>
      </c>
      <c r="I957" s="7" t="s">
        <v>153</v>
      </c>
      <c r="J957" s="6" t="s">
        <v>1281</v>
      </c>
      <c r="K957" s="6" t="n">
        <v>13</v>
      </c>
      <c r="L957" s="7" t="s">
        <v>1903</v>
      </c>
      <c r="M957" s="6" t="n">
        <v>20</v>
      </c>
      <c r="N957" s="7" t="s">
        <v>40</v>
      </c>
    </row>
    <row r="958" customFormat="false" ht="15" hidden="false" customHeight="false" outlineLevel="0" collapsed="false">
      <c r="A958" s="6" t="n">
        <v>957</v>
      </c>
      <c r="B958" s="7" t="s">
        <v>1792</v>
      </c>
      <c r="C958" s="7" t="s">
        <v>1900</v>
      </c>
      <c r="D958" s="8" t="s">
        <v>1942</v>
      </c>
      <c r="E958" s="7" t="s">
        <v>1930</v>
      </c>
      <c r="F958" s="6" t="s">
        <v>26</v>
      </c>
      <c r="G958" s="7" t="s">
        <v>27</v>
      </c>
      <c r="H958" s="7" t="s">
        <v>20</v>
      </c>
      <c r="I958" s="7" t="s">
        <v>183</v>
      </c>
      <c r="J958" s="6" t="s">
        <v>1281</v>
      </c>
      <c r="K958" s="6" t="n">
        <v>13</v>
      </c>
      <c r="L958" s="7" t="s">
        <v>1903</v>
      </c>
      <c r="M958" s="6" t="n">
        <v>21</v>
      </c>
      <c r="N958" s="7" t="s">
        <v>24</v>
      </c>
    </row>
    <row r="959" customFormat="false" ht="15" hidden="false" customHeight="false" outlineLevel="0" collapsed="false">
      <c r="A959" s="6" t="n">
        <v>958</v>
      </c>
      <c r="B959" s="7" t="s">
        <v>1792</v>
      </c>
      <c r="C959" s="7" t="s">
        <v>1900</v>
      </c>
      <c r="D959" s="8" t="s">
        <v>1943</v>
      </c>
      <c r="E959" s="7" t="s">
        <v>1944</v>
      </c>
      <c r="F959" s="6" t="s">
        <v>26</v>
      </c>
      <c r="G959" s="7" t="s">
        <v>27</v>
      </c>
      <c r="H959" s="7" t="s">
        <v>20</v>
      </c>
      <c r="I959" s="7" t="s">
        <v>183</v>
      </c>
      <c r="J959" s="6" t="s">
        <v>1281</v>
      </c>
      <c r="K959" s="6" t="n">
        <v>13</v>
      </c>
      <c r="L959" s="7" t="s">
        <v>1903</v>
      </c>
      <c r="M959" s="6" t="n">
        <v>22</v>
      </c>
      <c r="N959" s="7" t="s">
        <v>24</v>
      </c>
    </row>
    <row r="960" customFormat="false" ht="26.85" hidden="false" customHeight="false" outlineLevel="0" collapsed="false">
      <c r="A960" s="6" t="n">
        <v>959</v>
      </c>
      <c r="B960" s="7" t="s">
        <v>1792</v>
      </c>
      <c r="C960" s="7" t="s">
        <v>1900</v>
      </c>
      <c r="D960" s="8" t="s">
        <v>1945</v>
      </c>
      <c r="E960" s="7" t="s">
        <v>1946</v>
      </c>
      <c r="F960" s="6" t="s">
        <v>26</v>
      </c>
      <c r="G960" s="7" t="s">
        <v>27</v>
      </c>
      <c r="H960" s="7" t="s">
        <v>20</v>
      </c>
      <c r="I960" s="7" t="s">
        <v>189</v>
      </c>
      <c r="J960" s="6" t="s">
        <v>1281</v>
      </c>
      <c r="K960" s="6" t="n">
        <v>13</v>
      </c>
      <c r="L960" s="7" t="s">
        <v>1903</v>
      </c>
      <c r="M960" s="6" t="n">
        <v>23</v>
      </c>
      <c r="N960" s="7" t="s">
        <v>24</v>
      </c>
    </row>
    <row r="961" customFormat="false" ht="26.85" hidden="false" customHeight="false" outlineLevel="0" collapsed="false">
      <c r="A961" s="6" t="n">
        <v>960</v>
      </c>
      <c r="B961" s="7" t="s">
        <v>1792</v>
      </c>
      <c r="C961" s="7" t="s">
        <v>1900</v>
      </c>
      <c r="D961" s="8" t="s">
        <v>1947</v>
      </c>
      <c r="E961" s="7" t="s">
        <v>1948</v>
      </c>
      <c r="F961" s="6" t="s">
        <v>26</v>
      </c>
      <c r="G961" s="7" t="s">
        <v>27</v>
      </c>
      <c r="H961" s="7" t="s">
        <v>20</v>
      </c>
      <c r="I961" s="7" t="s">
        <v>189</v>
      </c>
      <c r="J961" s="6" t="s">
        <v>1281</v>
      </c>
      <c r="K961" s="6" t="n">
        <v>13</v>
      </c>
      <c r="L961" s="7" t="s">
        <v>1903</v>
      </c>
      <c r="M961" s="6" t="n">
        <v>24</v>
      </c>
      <c r="N961" s="7" t="s">
        <v>24</v>
      </c>
    </row>
    <row r="962" customFormat="false" ht="15" hidden="false" customHeight="false" outlineLevel="0" collapsed="false">
      <c r="A962" s="6" t="n">
        <v>961</v>
      </c>
      <c r="B962" s="7" t="s">
        <v>1792</v>
      </c>
      <c r="C962" s="7" t="s">
        <v>1900</v>
      </c>
      <c r="D962" s="8" t="s">
        <v>1949</v>
      </c>
      <c r="E962" s="7" t="s">
        <v>1950</v>
      </c>
      <c r="F962" s="6" t="s">
        <v>82</v>
      </c>
      <c r="G962" s="7" t="s">
        <v>27</v>
      </c>
      <c r="H962" s="7" t="s">
        <v>38</v>
      </c>
      <c r="I962" s="7" t="s">
        <v>120</v>
      </c>
      <c r="J962" s="6" t="s">
        <v>1281</v>
      </c>
      <c r="K962" s="6" t="n">
        <v>13</v>
      </c>
      <c r="L962" s="7" t="s">
        <v>1903</v>
      </c>
      <c r="M962" s="6" t="n">
        <v>25</v>
      </c>
      <c r="N962" s="7" t="s">
        <v>40</v>
      </c>
    </row>
    <row r="963" customFormat="false" ht="15" hidden="false" customHeight="false" outlineLevel="0" collapsed="false">
      <c r="A963" s="6" t="n">
        <v>962</v>
      </c>
      <c r="B963" s="7" t="s">
        <v>1792</v>
      </c>
      <c r="C963" s="7" t="s">
        <v>1900</v>
      </c>
      <c r="D963" s="8" t="s">
        <v>1951</v>
      </c>
      <c r="E963" s="7" t="s">
        <v>1952</v>
      </c>
      <c r="F963" s="6" t="s">
        <v>26</v>
      </c>
      <c r="G963" s="7" t="s">
        <v>43</v>
      </c>
      <c r="H963" s="7" t="s">
        <v>20</v>
      </c>
      <c r="I963" s="7" t="s">
        <v>189</v>
      </c>
      <c r="J963" s="6" t="s">
        <v>1281</v>
      </c>
      <c r="K963" s="6" t="n">
        <v>13</v>
      </c>
      <c r="L963" s="7" t="s">
        <v>1903</v>
      </c>
      <c r="M963" s="6" t="n">
        <v>26</v>
      </c>
      <c r="N963" s="7" t="s">
        <v>24</v>
      </c>
    </row>
    <row r="964" customFormat="false" ht="29.85" hidden="false" customHeight="false" outlineLevel="0" collapsed="false">
      <c r="A964" s="6" t="n">
        <v>963</v>
      </c>
      <c r="B964" s="7" t="s">
        <v>1792</v>
      </c>
      <c r="C964" s="7" t="s">
        <v>1900</v>
      </c>
      <c r="D964" s="8" t="s">
        <v>1953</v>
      </c>
      <c r="E964" s="7" t="s">
        <v>1905</v>
      </c>
      <c r="F964" s="6" t="s">
        <v>26</v>
      </c>
      <c r="G964" s="7" t="s">
        <v>27</v>
      </c>
      <c r="H964" s="7" t="s">
        <v>20</v>
      </c>
      <c r="I964" s="7" t="s">
        <v>243</v>
      </c>
      <c r="J964" s="6" t="s">
        <v>1281</v>
      </c>
      <c r="K964" s="6" t="n">
        <v>13</v>
      </c>
      <c r="L964" s="7" t="s">
        <v>1903</v>
      </c>
      <c r="M964" s="6" t="n">
        <v>27</v>
      </c>
      <c r="N964" s="7" t="s">
        <v>24</v>
      </c>
    </row>
    <row r="965" customFormat="false" ht="29.85" hidden="false" customHeight="false" outlineLevel="0" collapsed="false">
      <c r="A965" s="6" t="n">
        <v>964</v>
      </c>
      <c r="B965" s="7" t="s">
        <v>1792</v>
      </c>
      <c r="C965" s="7" t="s">
        <v>1900</v>
      </c>
      <c r="D965" s="8" t="s">
        <v>1954</v>
      </c>
      <c r="E965" s="7" t="s">
        <v>1955</v>
      </c>
      <c r="F965" s="6" t="s">
        <v>26</v>
      </c>
      <c r="G965" s="7" t="s">
        <v>27</v>
      </c>
      <c r="H965" s="7" t="s">
        <v>20</v>
      </c>
      <c r="I965" s="7" t="s">
        <v>192</v>
      </c>
      <c r="J965" s="6" t="s">
        <v>1281</v>
      </c>
      <c r="K965" s="6" t="n">
        <v>13</v>
      </c>
      <c r="L965" s="7" t="s">
        <v>1903</v>
      </c>
      <c r="M965" s="6" t="n">
        <v>28</v>
      </c>
      <c r="N965" s="7" t="s">
        <v>24</v>
      </c>
    </row>
    <row r="966" customFormat="false" ht="26.85" hidden="false" customHeight="false" outlineLevel="0" collapsed="false">
      <c r="A966" s="6" t="n">
        <v>965</v>
      </c>
      <c r="B966" s="7" t="s">
        <v>1792</v>
      </c>
      <c r="C966" s="7" t="s">
        <v>1956</v>
      </c>
      <c r="D966" s="8" t="s">
        <v>1957</v>
      </c>
      <c r="E966" s="7" t="s">
        <v>1934</v>
      </c>
      <c r="F966" s="6" t="s">
        <v>26</v>
      </c>
      <c r="G966" s="7" t="s">
        <v>27</v>
      </c>
      <c r="H966" s="7" t="s">
        <v>20</v>
      </c>
      <c r="I966" s="7" t="s">
        <v>254</v>
      </c>
      <c r="J966" s="6" t="s">
        <v>1281</v>
      </c>
      <c r="K966" s="6" t="n">
        <v>13</v>
      </c>
      <c r="L966" s="7" t="s">
        <v>1903</v>
      </c>
      <c r="M966" s="6" t="n">
        <v>29</v>
      </c>
      <c r="N966" s="7" t="s">
        <v>24</v>
      </c>
    </row>
    <row r="967" customFormat="false" ht="15" hidden="false" customHeight="false" outlineLevel="0" collapsed="false">
      <c r="A967" s="6" t="n">
        <v>966</v>
      </c>
      <c r="B967" s="7" t="s">
        <v>1792</v>
      </c>
      <c r="C967" s="7" t="s">
        <v>1900</v>
      </c>
      <c r="D967" s="8" t="s">
        <v>1958</v>
      </c>
      <c r="E967" s="7" t="s">
        <v>1959</v>
      </c>
      <c r="F967" s="6" t="s">
        <v>37</v>
      </c>
      <c r="G967" s="7" t="s">
        <v>27</v>
      </c>
      <c r="H967" s="7" t="s">
        <v>38</v>
      </c>
      <c r="I967" s="7" t="s">
        <v>410</v>
      </c>
      <c r="J967" s="6" t="s">
        <v>1281</v>
      </c>
      <c r="K967" s="6" t="n">
        <v>13</v>
      </c>
      <c r="L967" s="7" t="s">
        <v>1903</v>
      </c>
      <c r="M967" s="6" t="n">
        <v>30</v>
      </c>
      <c r="N967" s="7" t="s">
        <v>40</v>
      </c>
    </row>
    <row r="968" customFormat="false" ht="26.85" hidden="false" customHeight="false" outlineLevel="0" collapsed="false">
      <c r="A968" s="6" t="n">
        <v>967</v>
      </c>
      <c r="B968" s="7" t="s">
        <v>1792</v>
      </c>
      <c r="C968" s="7" t="s">
        <v>1900</v>
      </c>
      <c r="D968" s="9" t="s">
        <v>1960</v>
      </c>
      <c r="E968" s="7" t="s">
        <v>1961</v>
      </c>
      <c r="F968" s="6" t="s">
        <v>26</v>
      </c>
      <c r="G968" s="7" t="s">
        <v>27</v>
      </c>
      <c r="H968" s="7" t="s">
        <v>20</v>
      </c>
      <c r="I968" s="7" t="s">
        <v>254</v>
      </c>
      <c r="J968" s="6" t="s">
        <v>1281</v>
      </c>
      <c r="K968" s="6" t="n">
        <v>13</v>
      </c>
      <c r="L968" s="7" t="s">
        <v>1903</v>
      </c>
      <c r="M968" s="6" t="n">
        <v>31</v>
      </c>
      <c r="N968" s="7" t="s">
        <v>24</v>
      </c>
    </row>
    <row r="969" customFormat="false" ht="29.85" hidden="false" customHeight="false" outlineLevel="0" collapsed="false">
      <c r="A969" s="6" t="n">
        <v>968</v>
      </c>
      <c r="B969" s="7" t="s">
        <v>1792</v>
      </c>
      <c r="C969" s="7" t="s">
        <v>1900</v>
      </c>
      <c r="D969" s="8" t="s">
        <v>1962</v>
      </c>
      <c r="E969" s="7" t="s">
        <v>1963</v>
      </c>
      <c r="F969" s="6" t="s">
        <v>26</v>
      </c>
      <c r="G969" s="7" t="s">
        <v>43</v>
      </c>
      <c r="H969" s="7" t="s">
        <v>20</v>
      </c>
      <c r="I969" s="7" t="s">
        <v>76</v>
      </c>
      <c r="J969" s="6" t="s">
        <v>1281</v>
      </c>
      <c r="K969" s="6" t="n">
        <v>13</v>
      </c>
      <c r="L969" s="7" t="s">
        <v>1903</v>
      </c>
      <c r="M969" s="6" t="n">
        <v>32</v>
      </c>
      <c r="N969" s="7" t="s">
        <v>24</v>
      </c>
    </row>
    <row r="970" customFormat="false" ht="29.85" hidden="false" customHeight="false" outlineLevel="0" collapsed="false">
      <c r="A970" s="6" t="n">
        <v>969</v>
      </c>
      <c r="B970" s="7" t="s">
        <v>1792</v>
      </c>
      <c r="C970" s="7" t="s">
        <v>1900</v>
      </c>
      <c r="D970" s="8" t="s">
        <v>1964</v>
      </c>
      <c r="E970" s="7" t="s">
        <v>1965</v>
      </c>
      <c r="F970" s="6" t="s">
        <v>26</v>
      </c>
      <c r="G970" s="7" t="s">
        <v>43</v>
      </c>
      <c r="H970" s="7" t="s">
        <v>20</v>
      </c>
      <c r="I970" s="7" t="s">
        <v>76</v>
      </c>
      <c r="J970" s="6" t="s">
        <v>1281</v>
      </c>
      <c r="K970" s="6" t="n">
        <v>13</v>
      </c>
      <c r="L970" s="7" t="s">
        <v>1903</v>
      </c>
      <c r="M970" s="6" t="n">
        <v>33</v>
      </c>
      <c r="N970" s="7" t="s">
        <v>24</v>
      </c>
    </row>
    <row r="971" customFormat="false" ht="29.85" hidden="false" customHeight="false" outlineLevel="0" collapsed="false">
      <c r="A971" s="6" t="n">
        <v>970</v>
      </c>
      <c r="B971" s="7" t="s">
        <v>1792</v>
      </c>
      <c r="C971" s="7" t="s">
        <v>1956</v>
      </c>
      <c r="D971" s="8" t="s">
        <v>1966</v>
      </c>
      <c r="E971" s="7" t="s">
        <v>1934</v>
      </c>
      <c r="F971" s="6" t="s">
        <v>26</v>
      </c>
      <c r="G971" s="7" t="s">
        <v>27</v>
      </c>
      <c r="H971" s="7" t="s">
        <v>20</v>
      </c>
      <c r="I971" s="7" t="s">
        <v>49</v>
      </c>
      <c r="J971" s="6" t="s">
        <v>1281</v>
      </c>
      <c r="K971" s="6" t="n">
        <v>13</v>
      </c>
      <c r="L971" s="7" t="s">
        <v>1903</v>
      </c>
      <c r="M971" s="6" t="n">
        <v>34</v>
      </c>
      <c r="N971" s="7" t="s">
        <v>24</v>
      </c>
    </row>
    <row r="972" customFormat="false" ht="15" hidden="false" customHeight="false" outlineLevel="0" collapsed="false">
      <c r="A972" s="6" t="n">
        <v>971</v>
      </c>
      <c r="B972" s="7" t="s">
        <v>1792</v>
      </c>
      <c r="C972" s="7" t="s">
        <v>1900</v>
      </c>
      <c r="D972" s="8" t="s">
        <v>1967</v>
      </c>
      <c r="E972" s="7" t="s">
        <v>1968</v>
      </c>
      <c r="F972" s="6" t="s">
        <v>37</v>
      </c>
      <c r="G972" s="7" t="s">
        <v>27</v>
      </c>
      <c r="H972" s="7" t="s">
        <v>38</v>
      </c>
      <c r="I972" s="7" t="s">
        <v>410</v>
      </c>
      <c r="J972" s="6" t="s">
        <v>1281</v>
      </c>
      <c r="K972" s="6" t="n">
        <v>13</v>
      </c>
      <c r="L972" s="7" t="s">
        <v>1903</v>
      </c>
      <c r="M972" s="6" t="n">
        <v>35</v>
      </c>
      <c r="N972" s="7" t="s">
        <v>40</v>
      </c>
    </row>
    <row r="973" customFormat="false" ht="29.85" hidden="false" customHeight="false" outlineLevel="0" collapsed="false">
      <c r="A973" s="6" t="n">
        <v>972</v>
      </c>
      <c r="B973" s="7" t="s">
        <v>1792</v>
      </c>
      <c r="C973" s="7" t="s">
        <v>1900</v>
      </c>
      <c r="D973" s="8" t="s">
        <v>1969</v>
      </c>
      <c r="E973" s="7" t="s">
        <v>1970</v>
      </c>
      <c r="F973" s="6" t="s">
        <v>26</v>
      </c>
      <c r="G973" s="7" t="s">
        <v>27</v>
      </c>
      <c r="H973" s="7" t="s">
        <v>20</v>
      </c>
      <c r="I973" s="7" t="s">
        <v>49</v>
      </c>
      <c r="J973" s="6" t="s">
        <v>1281</v>
      </c>
      <c r="K973" s="6" t="n">
        <v>13</v>
      </c>
      <c r="L973" s="7" t="s">
        <v>1903</v>
      </c>
      <c r="M973" s="6" t="n">
        <v>36</v>
      </c>
      <c r="N973" s="7" t="s">
        <v>24</v>
      </c>
    </row>
    <row r="974" customFormat="false" ht="29.85" hidden="false" customHeight="false" outlineLevel="0" collapsed="false">
      <c r="A974" s="6" t="n">
        <v>973</v>
      </c>
      <c r="B974" s="7" t="s">
        <v>1792</v>
      </c>
      <c r="C974" s="7" t="s">
        <v>1900</v>
      </c>
      <c r="D974" s="8" t="s">
        <v>1971</v>
      </c>
      <c r="E974" s="7" t="s">
        <v>1972</v>
      </c>
      <c r="F974" s="6" t="s">
        <v>26</v>
      </c>
      <c r="G974" s="7" t="s">
        <v>43</v>
      </c>
      <c r="H974" s="7" t="s">
        <v>20</v>
      </c>
      <c r="I974" s="7" t="s">
        <v>49</v>
      </c>
      <c r="J974" s="6" t="s">
        <v>1281</v>
      </c>
      <c r="K974" s="6" t="n">
        <v>13</v>
      </c>
      <c r="L974" s="7" t="s">
        <v>1903</v>
      </c>
      <c r="M974" s="6" t="n">
        <v>37</v>
      </c>
      <c r="N974" s="7" t="s">
        <v>24</v>
      </c>
    </row>
    <row r="975" customFormat="false" ht="29.85" hidden="false" customHeight="false" outlineLevel="0" collapsed="false">
      <c r="A975" s="6" t="n">
        <v>974</v>
      </c>
      <c r="B975" s="7" t="s">
        <v>1792</v>
      </c>
      <c r="C975" s="7" t="s">
        <v>1900</v>
      </c>
      <c r="D975" s="9" t="s">
        <v>1973</v>
      </c>
      <c r="E975" s="7" t="s">
        <v>1934</v>
      </c>
      <c r="F975" s="6" t="s">
        <v>26</v>
      </c>
      <c r="G975" s="7" t="s">
        <v>27</v>
      </c>
      <c r="H975" s="7" t="s">
        <v>20</v>
      </c>
      <c r="I975" s="7" t="s">
        <v>49</v>
      </c>
      <c r="J975" s="6" t="s">
        <v>1281</v>
      </c>
      <c r="K975" s="6" t="n">
        <v>13</v>
      </c>
      <c r="L975" s="7" t="s">
        <v>1903</v>
      </c>
      <c r="M975" s="6" t="n">
        <v>38</v>
      </c>
      <c r="N975" s="7" t="s">
        <v>24</v>
      </c>
    </row>
    <row r="976" customFormat="false" ht="29.85" hidden="false" customHeight="false" outlineLevel="0" collapsed="false">
      <c r="A976" s="6" t="n">
        <v>975</v>
      </c>
      <c r="B976" s="7" t="s">
        <v>1792</v>
      </c>
      <c r="C976" s="7" t="s">
        <v>1900</v>
      </c>
      <c r="D976" s="8" t="s">
        <v>1974</v>
      </c>
      <c r="E976" s="7" t="s">
        <v>1975</v>
      </c>
      <c r="F976" s="6" t="s">
        <v>26</v>
      </c>
      <c r="G976" s="7" t="s">
        <v>43</v>
      </c>
      <c r="H976" s="7" t="s">
        <v>20</v>
      </c>
      <c r="I976" s="7" t="s">
        <v>85</v>
      </c>
      <c r="J976" s="6" t="s">
        <v>1281</v>
      </c>
      <c r="K976" s="6" t="n">
        <v>13</v>
      </c>
      <c r="L976" s="7" t="s">
        <v>1903</v>
      </c>
      <c r="M976" s="6" t="n">
        <v>39</v>
      </c>
      <c r="N976" s="7" t="s">
        <v>24</v>
      </c>
    </row>
    <row r="977" customFormat="false" ht="15" hidden="false" customHeight="false" outlineLevel="0" collapsed="false">
      <c r="A977" s="6" t="n">
        <v>976</v>
      </c>
      <c r="B977" s="7" t="s">
        <v>1792</v>
      </c>
      <c r="C977" s="7" t="s">
        <v>1900</v>
      </c>
      <c r="D977" s="8" t="s">
        <v>1976</v>
      </c>
      <c r="E977" s="7" t="s">
        <v>1977</v>
      </c>
      <c r="F977" s="6" t="s">
        <v>37</v>
      </c>
      <c r="G977" s="7" t="s">
        <v>27</v>
      </c>
      <c r="H977" s="7" t="s">
        <v>38</v>
      </c>
      <c r="I977" s="7" t="s">
        <v>410</v>
      </c>
      <c r="J977" s="6" t="s">
        <v>1281</v>
      </c>
      <c r="K977" s="6" t="n">
        <v>13</v>
      </c>
      <c r="L977" s="7" t="s">
        <v>1903</v>
      </c>
      <c r="M977" s="6" t="n">
        <v>40</v>
      </c>
      <c r="N977" s="7" t="s">
        <v>40</v>
      </c>
    </row>
    <row r="978" customFormat="false" ht="29.85" hidden="false" customHeight="false" outlineLevel="0" collapsed="false">
      <c r="A978" s="6" t="n">
        <v>977</v>
      </c>
      <c r="B978" s="7" t="s">
        <v>1792</v>
      </c>
      <c r="C978" s="7" t="s">
        <v>1900</v>
      </c>
      <c r="D978" s="8" t="s">
        <v>1978</v>
      </c>
      <c r="E978" s="7" t="s">
        <v>1979</v>
      </c>
      <c r="F978" s="6" t="s">
        <v>26</v>
      </c>
      <c r="G978" s="7" t="s">
        <v>27</v>
      </c>
      <c r="H978" s="7" t="s">
        <v>20</v>
      </c>
      <c r="I978" s="7" t="s">
        <v>457</v>
      </c>
      <c r="J978" s="6" t="s">
        <v>1281</v>
      </c>
      <c r="K978" s="6" t="n">
        <v>13</v>
      </c>
      <c r="L978" s="7" t="s">
        <v>1903</v>
      </c>
      <c r="M978" s="6" t="n">
        <v>41</v>
      </c>
      <c r="N978" s="7" t="s">
        <v>24</v>
      </c>
    </row>
    <row r="979" customFormat="false" ht="29.85" hidden="false" customHeight="false" outlineLevel="0" collapsed="false">
      <c r="A979" s="6" t="n">
        <v>978</v>
      </c>
      <c r="B979" s="7" t="s">
        <v>1792</v>
      </c>
      <c r="C979" s="7" t="s">
        <v>1900</v>
      </c>
      <c r="D979" s="8" t="s">
        <v>1980</v>
      </c>
      <c r="E979" s="7" t="s">
        <v>1981</v>
      </c>
      <c r="F979" s="6" t="s">
        <v>26</v>
      </c>
      <c r="G979" s="7" t="s">
        <v>43</v>
      </c>
      <c r="H979" s="7" t="s">
        <v>20</v>
      </c>
      <c r="I979" s="7" t="s">
        <v>457</v>
      </c>
      <c r="J979" s="6" t="s">
        <v>1281</v>
      </c>
      <c r="K979" s="6" t="n">
        <v>13</v>
      </c>
      <c r="L979" s="7" t="s">
        <v>1903</v>
      </c>
      <c r="M979" s="6" t="n">
        <v>42</v>
      </c>
      <c r="N979" s="7" t="s">
        <v>24</v>
      </c>
    </row>
    <row r="980" customFormat="false" ht="29.85" hidden="false" customHeight="false" outlineLevel="0" collapsed="false">
      <c r="A980" s="6" t="n">
        <v>979</v>
      </c>
      <c r="B980" s="7" t="s">
        <v>1792</v>
      </c>
      <c r="C980" s="7" t="s">
        <v>1900</v>
      </c>
      <c r="D980" s="8" t="s">
        <v>1982</v>
      </c>
      <c r="E980" s="7" t="s">
        <v>1983</v>
      </c>
      <c r="F980" s="6" t="s">
        <v>26</v>
      </c>
      <c r="G980" s="7" t="s">
        <v>43</v>
      </c>
      <c r="H980" s="7" t="s">
        <v>20</v>
      </c>
      <c r="I980" s="7" t="s">
        <v>457</v>
      </c>
      <c r="J980" s="6" t="s">
        <v>1281</v>
      </c>
      <c r="K980" s="6" t="n">
        <v>13</v>
      </c>
      <c r="L980" s="7" t="s">
        <v>1903</v>
      </c>
      <c r="M980" s="6" t="n">
        <v>43</v>
      </c>
      <c r="N980" s="7" t="s">
        <v>24</v>
      </c>
    </row>
    <row r="981" customFormat="false" ht="29.85" hidden="false" customHeight="false" outlineLevel="0" collapsed="false">
      <c r="A981" s="6" t="n">
        <v>980</v>
      </c>
      <c r="B981" s="7" t="s">
        <v>1792</v>
      </c>
      <c r="C981" s="7" t="s">
        <v>1900</v>
      </c>
      <c r="D981" s="8" t="s">
        <v>1984</v>
      </c>
      <c r="E981" s="7" t="s">
        <v>1985</v>
      </c>
      <c r="F981" s="6" t="s">
        <v>26</v>
      </c>
      <c r="G981" s="7" t="s">
        <v>27</v>
      </c>
      <c r="H981" s="7" t="s">
        <v>20</v>
      </c>
      <c r="I981" s="7" t="s">
        <v>457</v>
      </c>
      <c r="J981" s="6" t="s">
        <v>1281</v>
      </c>
      <c r="K981" s="6" t="n">
        <v>13</v>
      </c>
      <c r="L981" s="7" t="s">
        <v>1903</v>
      </c>
      <c r="M981" s="6" t="n">
        <v>44</v>
      </c>
      <c r="N981" s="7" t="s">
        <v>24</v>
      </c>
    </row>
    <row r="982" customFormat="false" ht="15" hidden="false" customHeight="false" outlineLevel="0" collapsed="false">
      <c r="A982" s="6" t="n">
        <v>981</v>
      </c>
      <c r="B982" s="7" t="s">
        <v>1792</v>
      </c>
      <c r="C982" s="7" t="s">
        <v>1900</v>
      </c>
      <c r="D982" s="8" t="s">
        <v>1986</v>
      </c>
      <c r="E982" s="7" t="s">
        <v>1987</v>
      </c>
      <c r="F982" s="6" t="s">
        <v>37</v>
      </c>
      <c r="G982" s="7" t="s">
        <v>27</v>
      </c>
      <c r="H982" s="7" t="s">
        <v>38</v>
      </c>
      <c r="I982" s="7" t="s">
        <v>410</v>
      </c>
      <c r="J982" s="6" t="s">
        <v>1281</v>
      </c>
      <c r="K982" s="6" t="n">
        <v>13</v>
      </c>
      <c r="L982" s="7" t="s">
        <v>1903</v>
      </c>
      <c r="M982" s="6" t="n">
        <v>45</v>
      </c>
      <c r="N982" s="7" t="s">
        <v>40</v>
      </c>
    </row>
    <row r="983" customFormat="false" ht="29.85" hidden="false" customHeight="false" outlineLevel="0" collapsed="false">
      <c r="A983" s="6" t="n">
        <v>982</v>
      </c>
      <c r="B983" s="7" t="s">
        <v>1792</v>
      </c>
      <c r="C983" s="7" t="s">
        <v>1900</v>
      </c>
      <c r="D983" s="8" t="s">
        <v>1988</v>
      </c>
      <c r="E983" s="7" t="s">
        <v>1989</v>
      </c>
      <c r="F983" s="6" t="s">
        <v>26</v>
      </c>
      <c r="G983" s="7" t="s">
        <v>43</v>
      </c>
      <c r="H983" s="7" t="s">
        <v>20</v>
      </c>
      <c r="I983" s="7" t="s">
        <v>105</v>
      </c>
      <c r="J983" s="6" t="s">
        <v>1281</v>
      </c>
      <c r="K983" s="6" t="n">
        <v>13</v>
      </c>
      <c r="L983" s="7" t="s">
        <v>1903</v>
      </c>
      <c r="M983" s="6" t="n">
        <v>46</v>
      </c>
      <c r="N983" s="7" t="s">
        <v>24</v>
      </c>
    </row>
    <row r="984" customFormat="false" ht="29.85" hidden="false" customHeight="false" outlineLevel="0" collapsed="false">
      <c r="A984" s="6" t="n">
        <v>983</v>
      </c>
      <c r="B984" s="7" t="s">
        <v>1792</v>
      </c>
      <c r="C984" s="7" t="s">
        <v>1900</v>
      </c>
      <c r="D984" s="8" t="s">
        <v>1990</v>
      </c>
      <c r="E984" s="7" t="s">
        <v>1991</v>
      </c>
      <c r="F984" s="6" t="s">
        <v>26</v>
      </c>
      <c r="G984" s="7" t="s">
        <v>43</v>
      </c>
      <c r="H984" s="7" t="s">
        <v>20</v>
      </c>
      <c r="I984" s="7" t="s">
        <v>150</v>
      </c>
      <c r="J984" s="6" t="s">
        <v>1281</v>
      </c>
      <c r="K984" s="6" t="n">
        <v>13</v>
      </c>
      <c r="L984" s="7" t="s">
        <v>1903</v>
      </c>
      <c r="M984" s="6" t="n">
        <v>47</v>
      </c>
      <c r="N984" s="7" t="s">
        <v>24</v>
      </c>
    </row>
    <row r="985" customFormat="false" ht="29.85" hidden="false" customHeight="false" outlineLevel="0" collapsed="false">
      <c r="A985" s="6" t="n">
        <v>984</v>
      </c>
      <c r="B985" s="7" t="s">
        <v>1792</v>
      </c>
      <c r="C985" s="7" t="s">
        <v>1900</v>
      </c>
      <c r="D985" s="8" t="s">
        <v>1992</v>
      </c>
      <c r="E985" s="7" t="s">
        <v>1993</v>
      </c>
      <c r="F985" s="6" t="s">
        <v>26</v>
      </c>
      <c r="G985" s="7" t="s">
        <v>27</v>
      </c>
      <c r="H985" s="7" t="s">
        <v>20</v>
      </c>
      <c r="I985" s="7" t="s">
        <v>150</v>
      </c>
      <c r="J985" s="6" t="s">
        <v>1281</v>
      </c>
      <c r="K985" s="6" t="n">
        <v>13</v>
      </c>
      <c r="L985" s="7" t="s">
        <v>1903</v>
      </c>
      <c r="M985" s="6" t="n">
        <v>48</v>
      </c>
      <c r="N985" s="7" t="s">
        <v>24</v>
      </c>
    </row>
    <row r="986" customFormat="false" ht="29.85" hidden="false" customHeight="false" outlineLevel="0" collapsed="false">
      <c r="A986" s="6" t="n">
        <v>985</v>
      </c>
      <c r="B986" s="7" t="s">
        <v>1792</v>
      </c>
      <c r="C986" s="7" t="s">
        <v>1900</v>
      </c>
      <c r="D986" s="8" t="s">
        <v>1994</v>
      </c>
      <c r="E986" s="7" t="s">
        <v>1930</v>
      </c>
      <c r="F986" s="6" t="s">
        <v>26</v>
      </c>
      <c r="G986" s="7" t="s">
        <v>27</v>
      </c>
      <c r="H986" s="7" t="s">
        <v>20</v>
      </c>
      <c r="I986" s="7" t="s">
        <v>289</v>
      </c>
      <c r="J986" s="6" t="s">
        <v>1281</v>
      </c>
      <c r="K986" s="6" t="n">
        <v>13</v>
      </c>
      <c r="L986" s="7" t="s">
        <v>1903</v>
      </c>
      <c r="M986" s="6" t="n">
        <v>49</v>
      </c>
      <c r="N986" s="7" t="s">
        <v>24</v>
      </c>
    </row>
    <row r="987" customFormat="false" ht="15" hidden="false" customHeight="false" outlineLevel="0" collapsed="false">
      <c r="A987" s="6" t="n">
        <v>986</v>
      </c>
      <c r="B987" s="7" t="s">
        <v>1792</v>
      </c>
      <c r="C987" s="7" t="s">
        <v>1900</v>
      </c>
      <c r="D987" s="8" t="s">
        <v>1995</v>
      </c>
      <c r="E987" s="7" t="s">
        <v>1996</v>
      </c>
      <c r="F987" s="6" t="s">
        <v>37</v>
      </c>
      <c r="G987" s="7" t="s">
        <v>27</v>
      </c>
      <c r="H987" s="7" t="s">
        <v>38</v>
      </c>
      <c r="I987" s="7" t="s">
        <v>360</v>
      </c>
      <c r="J987" s="6" t="s">
        <v>1281</v>
      </c>
      <c r="K987" s="6" t="n">
        <v>13</v>
      </c>
      <c r="L987" s="7" t="s">
        <v>1903</v>
      </c>
      <c r="M987" s="6" t="n">
        <v>50</v>
      </c>
      <c r="N987" s="7" t="s">
        <v>40</v>
      </c>
    </row>
    <row r="988" customFormat="false" ht="29.85" hidden="false" customHeight="false" outlineLevel="0" collapsed="false">
      <c r="A988" s="6" t="n">
        <v>987</v>
      </c>
      <c r="B988" s="7" t="s">
        <v>1792</v>
      </c>
      <c r="C988" s="7" t="s">
        <v>1900</v>
      </c>
      <c r="D988" s="8" t="s">
        <v>1997</v>
      </c>
      <c r="E988" s="7" t="s">
        <v>1979</v>
      </c>
      <c r="F988" s="6" t="s">
        <v>26</v>
      </c>
      <c r="G988" s="7" t="s">
        <v>27</v>
      </c>
      <c r="H988" s="7" t="s">
        <v>20</v>
      </c>
      <c r="I988" s="7" t="s">
        <v>289</v>
      </c>
      <c r="J988" s="6" t="s">
        <v>1281</v>
      </c>
      <c r="K988" s="6" t="n">
        <v>13</v>
      </c>
      <c r="L988" s="7" t="s">
        <v>1903</v>
      </c>
      <c r="M988" s="6" t="n">
        <v>51</v>
      </c>
      <c r="N988" s="7" t="s">
        <v>24</v>
      </c>
    </row>
    <row r="989" customFormat="false" ht="29.85" hidden="false" customHeight="false" outlineLevel="0" collapsed="false">
      <c r="A989" s="6" t="n">
        <v>988</v>
      </c>
      <c r="B989" s="7" t="s">
        <v>1792</v>
      </c>
      <c r="C989" s="7" t="s">
        <v>1900</v>
      </c>
      <c r="D989" s="8" t="s">
        <v>1998</v>
      </c>
      <c r="E989" s="7" t="s">
        <v>1946</v>
      </c>
      <c r="F989" s="6" t="s">
        <v>26</v>
      </c>
      <c r="G989" s="7" t="s">
        <v>27</v>
      </c>
      <c r="H989" s="7" t="s">
        <v>20</v>
      </c>
      <c r="I989" s="7" t="s">
        <v>289</v>
      </c>
      <c r="J989" s="6" t="s">
        <v>1281</v>
      </c>
      <c r="K989" s="6" t="n">
        <v>13</v>
      </c>
      <c r="L989" s="7" t="s">
        <v>1903</v>
      </c>
      <c r="M989" s="6" t="n">
        <v>52</v>
      </c>
      <c r="N989" s="7" t="s">
        <v>24</v>
      </c>
    </row>
    <row r="990" customFormat="false" ht="15" hidden="false" customHeight="false" outlineLevel="0" collapsed="false">
      <c r="A990" s="6" t="n">
        <v>989</v>
      </c>
      <c r="B990" s="7" t="s">
        <v>1792</v>
      </c>
      <c r="C990" s="7" t="s">
        <v>1900</v>
      </c>
      <c r="D990" s="8" t="s">
        <v>1999</v>
      </c>
      <c r="E990" s="7" t="s">
        <v>2000</v>
      </c>
      <c r="F990" s="6" t="s">
        <v>37</v>
      </c>
      <c r="G990" s="7" t="s">
        <v>27</v>
      </c>
      <c r="H990" s="7" t="s">
        <v>38</v>
      </c>
      <c r="I990" s="7" t="s">
        <v>586</v>
      </c>
      <c r="J990" s="6" t="s">
        <v>1281</v>
      </c>
      <c r="K990" s="6" t="n">
        <v>13</v>
      </c>
      <c r="L990" s="7" t="s">
        <v>1903</v>
      </c>
      <c r="M990" s="6" t="n">
        <v>53</v>
      </c>
      <c r="N990" s="7" t="s">
        <v>40</v>
      </c>
    </row>
    <row r="991" customFormat="false" ht="15" hidden="false" customHeight="false" outlineLevel="0" collapsed="false">
      <c r="A991" s="6" t="n">
        <v>990</v>
      </c>
      <c r="B991" s="7" t="s">
        <v>1792</v>
      </c>
      <c r="C991" s="7" t="s">
        <v>1900</v>
      </c>
      <c r="D991" s="8" t="s">
        <v>2001</v>
      </c>
      <c r="E991" s="7" t="s">
        <v>2002</v>
      </c>
      <c r="F991" s="6" t="s">
        <v>37</v>
      </c>
      <c r="G991" s="7" t="s">
        <v>27</v>
      </c>
      <c r="H991" s="7" t="s">
        <v>38</v>
      </c>
      <c r="I991" s="7" t="s">
        <v>1390</v>
      </c>
      <c r="J991" s="6" t="s">
        <v>1281</v>
      </c>
      <c r="K991" s="6" t="n">
        <v>13</v>
      </c>
      <c r="L991" s="7" t="s">
        <v>1903</v>
      </c>
      <c r="M991" s="6" t="n">
        <v>54</v>
      </c>
      <c r="N991" s="7" t="s">
        <v>40</v>
      </c>
    </row>
    <row r="992" customFormat="false" ht="29.85" hidden="false" customHeight="false" outlineLevel="0" collapsed="false">
      <c r="A992" s="6" t="n">
        <v>991</v>
      </c>
      <c r="B992" s="7" t="s">
        <v>1792</v>
      </c>
      <c r="C992" s="7" t="s">
        <v>1900</v>
      </c>
      <c r="D992" s="8" t="s">
        <v>2003</v>
      </c>
      <c r="E992" s="7" t="s">
        <v>2004</v>
      </c>
      <c r="F992" s="6" t="s">
        <v>37</v>
      </c>
      <c r="G992" s="7" t="s">
        <v>27</v>
      </c>
      <c r="H992" s="7" t="s">
        <v>38</v>
      </c>
      <c r="I992" s="7" t="s">
        <v>2005</v>
      </c>
      <c r="J992" s="6" t="s">
        <v>1281</v>
      </c>
      <c r="K992" s="6" t="n">
        <v>13</v>
      </c>
      <c r="L992" s="7" t="s">
        <v>1903</v>
      </c>
      <c r="M992" s="6" t="n">
        <v>55</v>
      </c>
      <c r="N992" s="7" t="s">
        <v>40</v>
      </c>
    </row>
    <row r="993" customFormat="false" ht="29.85" hidden="false" customHeight="false" outlineLevel="0" collapsed="false">
      <c r="A993" s="6" t="n">
        <v>992</v>
      </c>
      <c r="B993" s="7" t="s">
        <v>1792</v>
      </c>
      <c r="C993" s="7" t="s">
        <v>1900</v>
      </c>
      <c r="D993" s="8" t="s">
        <v>2006</v>
      </c>
      <c r="E993" s="7" t="s">
        <v>2007</v>
      </c>
      <c r="F993" s="6" t="s">
        <v>37</v>
      </c>
      <c r="G993" s="7" t="s">
        <v>27</v>
      </c>
      <c r="H993" s="7" t="s">
        <v>38</v>
      </c>
      <c r="I993" s="7" t="s">
        <v>300</v>
      </c>
      <c r="J993" s="6" t="s">
        <v>1281</v>
      </c>
      <c r="K993" s="6" t="n">
        <v>13</v>
      </c>
      <c r="L993" s="7" t="s">
        <v>1903</v>
      </c>
      <c r="M993" s="6" t="n">
        <v>56</v>
      </c>
      <c r="N993" s="7" t="s">
        <v>40</v>
      </c>
    </row>
    <row r="994" customFormat="false" ht="29.85" hidden="false" customHeight="false" outlineLevel="0" collapsed="false">
      <c r="A994" s="6" t="n">
        <v>993</v>
      </c>
      <c r="B994" s="7" t="s">
        <v>1792</v>
      </c>
      <c r="C994" s="7" t="s">
        <v>1900</v>
      </c>
      <c r="D994" s="8" t="s">
        <v>2008</v>
      </c>
      <c r="E994" s="7" t="s">
        <v>1948</v>
      </c>
      <c r="F994" s="6" t="s">
        <v>26</v>
      </c>
      <c r="G994" s="7" t="s">
        <v>27</v>
      </c>
      <c r="H994" s="7" t="s">
        <v>38</v>
      </c>
      <c r="I994" s="7" t="s">
        <v>309</v>
      </c>
      <c r="J994" s="6" t="s">
        <v>1281</v>
      </c>
      <c r="K994" s="6" t="n">
        <v>13</v>
      </c>
      <c r="L994" s="7" t="s">
        <v>1903</v>
      </c>
      <c r="M994" s="6" t="n">
        <v>57</v>
      </c>
      <c r="N994" s="7" t="s">
        <v>40</v>
      </c>
    </row>
    <row r="995" customFormat="false" ht="29.85" hidden="false" customHeight="false" outlineLevel="0" collapsed="false">
      <c r="A995" s="6" t="n">
        <v>994</v>
      </c>
      <c r="B995" s="7" t="s">
        <v>1792</v>
      </c>
      <c r="C995" s="7" t="s">
        <v>1900</v>
      </c>
      <c r="D995" s="8" t="s">
        <v>2009</v>
      </c>
      <c r="E995" s="7" t="s">
        <v>2010</v>
      </c>
      <c r="F995" s="6" t="s">
        <v>26</v>
      </c>
      <c r="G995" s="7" t="s">
        <v>43</v>
      </c>
      <c r="H995" s="7" t="s">
        <v>38</v>
      </c>
      <c r="I995" s="7" t="s">
        <v>1119</v>
      </c>
      <c r="J995" s="6" t="s">
        <v>1281</v>
      </c>
      <c r="K995" s="6" t="n">
        <v>13</v>
      </c>
      <c r="L995" s="7" t="s">
        <v>1903</v>
      </c>
      <c r="M995" s="6" t="n">
        <v>58</v>
      </c>
      <c r="N995" s="7" t="s">
        <v>40</v>
      </c>
    </row>
    <row r="996" customFormat="false" ht="29.85" hidden="false" customHeight="false" outlineLevel="0" collapsed="false">
      <c r="A996" s="6" t="n">
        <v>995</v>
      </c>
      <c r="B996" s="7" t="s">
        <v>1792</v>
      </c>
      <c r="C996" s="7" t="s">
        <v>1900</v>
      </c>
      <c r="D996" s="8" t="s">
        <v>2011</v>
      </c>
      <c r="E996" s="7" t="s">
        <v>1991</v>
      </c>
      <c r="F996" s="6" t="s">
        <v>26</v>
      </c>
      <c r="G996" s="7" t="s">
        <v>43</v>
      </c>
      <c r="H996" s="7" t="s">
        <v>38</v>
      </c>
      <c r="I996" s="7" t="s">
        <v>123</v>
      </c>
      <c r="J996" s="6" t="s">
        <v>1281</v>
      </c>
      <c r="K996" s="6" t="n">
        <v>13</v>
      </c>
      <c r="L996" s="7" t="s">
        <v>1903</v>
      </c>
      <c r="M996" s="6" t="n">
        <v>59</v>
      </c>
      <c r="N996" s="7" t="s">
        <v>40</v>
      </c>
    </row>
    <row r="997" customFormat="false" ht="29.85" hidden="false" customHeight="false" outlineLevel="0" collapsed="false">
      <c r="A997" s="6" t="n">
        <v>996</v>
      </c>
      <c r="B997" s="7" t="s">
        <v>1792</v>
      </c>
      <c r="C997" s="7" t="s">
        <v>1900</v>
      </c>
      <c r="D997" s="8" t="s">
        <v>2012</v>
      </c>
      <c r="E997" s="7" t="s">
        <v>1979</v>
      </c>
      <c r="F997" s="6" t="s">
        <v>26</v>
      </c>
      <c r="G997" s="7" t="s">
        <v>27</v>
      </c>
      <c r="H997" s="7" t="s">
        <v>38</v>
      </c>
      <c r="I997" s="7" t="s">
        <v>640</v>
      </c>
      <c r="J997" s="6" t="s">
        <v>1281</v>
      </c>
      <c r="K997" s="6" t="n">
        <v>13</v>
      </c>
      <c r="L997" s="7" t="s">
        <v>1903</v>
      </c>
      <c r="M997" s="6" t="n">
        <v>60</v>
      </c>
      <c r="N997" s="7" t="s">
        <v>40</v>
      </c>
    </row>
    <row r="998" customFormat="false" ht="29.85" hidden="false" customHeight="false" outlineLevel="0" collapsed="false">
      <c r="A998" s="6" t="n">
        <v>997</v>
      </c>
      <c r="B998" s="7" t="s">
        <v>1792</v>
      </c>
      <c r="C998" s="7" t="s">
        <v>1900</v>
      </c>
      <c r="D998" s="8" t="s">
        <v>2013</v>
      </c>
      <c r="E998" s="7" t="s">
        <v>2014</v>
      </c>
      <c r="F998" s="6" t="s">
        <v>26</v>
      </c>
      <c r="G998" s="7" t="s">
        <v>27</v>
      </c>
      <c r="H998" s="7" t="s">
        <v>38</v>
      </c>
      <c r="I998" s="7" t="s">
        <v>910</v>
      </c>
      <c r="J998" s="6" t="s">
        <v>1281</v>
      </c>
      <c r="K998" s="6" t="n">
        <v>13</v>
      </c>
      <c r="L998" s="7" t="s">
        <v>1903</v>
      </c>
      <c r="M998" s="6" t="n">
        <v>61</v>
      </c>
      <c r="N998" s="7" t="s">
        <v>40</v>
      </c>
    </row>
    <row r="999" customFormat="false" ht="44" hidden="false" customHeight="false" outlineLevel="0" collapsed="false">
      <c r="A999" s="6" t="n">
        <v>998</v>
      </c>
      <c r="B999" s="7" t="s">
        <v>1792</v>
      </c>
      <c r="C999" s="7" t="s">
        <v>1900</v>
      </c>
      <c r="D999" s="8" t="s">
        <v>2015</v>
      </c>
      <c r="E999" s="7" t="s">
        <v>2016</v>
      </c>
      <c r="F999" s="6" t="s">
        <v>26</v>
      </c>
      <c r="G999" s="7" t="s">
        <v>43</v>
      </c>
      <c r="H999" s="7" t="s">
        <v>38</v>
      </c>
      <c r="I999" s="7" t="s">
        <v>2017</v>
      </c>
      <c r="J999" s="6" t="s">
        <v>1281</v>
      </c>
      <c r="K999" s="6" t="n">
        <v>13</v>
      </c>
      <c r="L999" s="7" t="s">
        <v>1903</v>
      </c>
      <c r="M999" s="6" t="n">
        <v>62</v>
      </c>
      <c r="N999" s="7" t="s">
        <v>40</v>
      </c>
    </row>
    <row r="1000" customFormat="false" ht="29.85" hidden="false" customHeight="false" outlineLevel="0" collapsed="false">
      <c r="A1000" s="6" t="n">
        <v>999</v>
      </c>
      <c r="B1000" s="7" t="s">
        <v>1276</v>
      </c>
      <c r="C1000" s="7" t="s">
        <v>2018</v>
      </c>
      <c r="D1000" s="8" t="s">
        <v>2019</v>
      </c>
      <c r="E1000" s="7" t="s">
        <v>2020</v>
      </c>
      <c r="F1000" s="6" t="s">
        <v>26</v>
      </c>
      <c r="G1000" s="7" t="s">
        <v>27</v>
      </c>
      <c r="H1000" s="7" t="s">
        <v>20</v>
      </c>
      <c r="I1000" s="7" t="s">
        <v>105</v>
      </c>
      <c r="J1000" s="6" t="s">
        <v>1281</v>
      </c>
      <c r="K1000" s="6" t="n">
        <v>14</v>
      </c>
      <c r="L1000" s="7" t="s">
        <v>2021</v>
      </c>
      <c r="M1000" s="6" t="n">
        <v>1</v>
      </c>
      <c r="N1000" s="7" t="s">
        <v>24</v>
      </c>
    </row>
    <row r="1001" customFormat="false" ht="29.85" hidden="false" customHeight="false" outlineLevel="0" collapsed="false">
      <c r="A1001" s="6" t="n">
        <v>1000</v>
      </c>
      <c r="B1001" s="7" t="s">
        <v>1276</v>
      </c>
      <c r="C1001" s="7" t="s">
        <v>2018</v>
      </c>
      <c r="D1001" s="8" t="s">
        <v>2022</v>
      </c>
      <c r="E1001" s="7" t="s">
        <v>2023</v>
      </c>
      <c r="F1001" s="6" t="s">
        <v>26</v>
      </c>
      <c r="G1001" s="7" t="s">
        <v>27</v>
      </c>
      <c r="H1001" s="7" t="s">
        <v>20</v>
      </c>
      <c r="I1001" s="7" t="s">
        <v>51</v>
      </c>
      <c r="J1001" s="6" t="s">
        <v>1281</v>
      </c>
      <c r="K1001" s="6" t="n">
        <v>14</v>
      </c>
      <c r="L1001" s="7" t="s">
        <v>2021</v>
      </c>
      <c r="M1001" s="6" t="n">
        <v>2</v>
      </c>
      <c r="N1001" s="7" t="s">
        <v>24</v>
      </c>
    </row>
    <row r="1002" customFormat="false" ht="29.85" hidden="false" customHeight="false" outlineLevel="0" collapsed="false">
      <c r="A1002" s="6" t="n">
        <v>1001</v>
      </c>
      <c r="B1002" s="7" t="s">
        <v>1276</v>
      </c>
      <c r="C1002" s="7" t="s">
        <v>2018</v>
      </c>
      <c r="D1002" s="8" t="s">
        <v>2024</v>
      </c>
      <c r="E1002" s="7" t="s">
        <v>2025</v>
      </c>
      <c r="F1002" s="6" t="s">
        <v>26</v>
      </c>
      <c r="G1002" s="7" t="s">
        <v>27</v>
      </c>
      <c r="H1002" s="7" t="s">
        <v>20</v>
      </c>
      <c r="I1002" s="7" t="s">
        <v>51</v>
      </c>
      <c r="J1002" s="6" t="s">
        <v>1281</v>
      </c>
      <c r="K1002" s="6" t="n">
        <v>14</v>
      </c>
      <c r="L1002" s="7" t="s">
        <v>2021</v>
      </c>
      <c r="M1002" s="6" t="n">
        <v>3</v>
      </c>
      <c r="N1002" s="7" t="s">
        <v>24</v>
      </c>
    </row>
    <row r="1003" customFormat="false" ht="15" hidden="false" customHeight="false" outlineLevel="0" collapsed="false">
      <c r="A1003" s="6" t="n">
        <v>1002</v>
      </c>
      <c r="B1003" s="7" t="s">
        <v>1792</v>
      </c>
      <c r="C1003" s="7" t="s">
        <v>2018</v>
      </c>
      <c r="D1003" s="8" t="s">
        <v>2026</v>
      </c>
      <c r="E1003" s="7" t="s">
        <v>2027</v>
      </c>
      <c r="F1003" s="6" t="s">
        <v>37</v>
      </c>
      <c r="G1003" s="7" t="s">
        <v>27</v>
      </c>
      <c r="H1003" s="7" t="s">
        <v>38</v>
      </c>
      <c r="I1003" s="7" t="s">
        <v>153</v>
      </c>
      <c r="J1003" s="6" t="s">
        <v>1281</v>
      </c>
      <c r="K1003" s="6" t="n">
        <v>14</v>
      </c>
      <c r="L1003" s="7" t="s">
        <v>2021</v>
      </c>
      <c r="M1003" s="6" t="n">
        <v>4</v>
      </c>
      <c r="N1003" s="7" t="s">
        <v>40</v>
      </c>
    </row>
    <row r="1004" customFormat="false" ht="15" hidden="false" customHeight="false" outlineLevel="0" collapsed="false">
      <c r="A1004" s="6" t="n">
        <v>1003</v>
      </c>
      <c r="B1004" s="7" t="s">
        <v>1792</v>
      </c>
      <c r="C1004" s="7" t="s">
        <v>2018</v>
      </c>
      <c r="D1004" s="8" t="s">
        <v>2028</v>
      </c>
      <c r="E1004" s="7" t="s">
        <v>2029</v>
      </c>
      <c r="F1004" s="6" t="s">
        <v>37</v>
      </c>
      <c r="G1004" s="7" t="s">
        <v>27</v>
      </c>
      <c r="H1004" s="7" t="s">
        <v>38</v>
      </c>
      <c r="I1004" s="7" t="s">
        <v>153</v>
      </c>
      <c r="J1004" s="6" t="s">
        <v>1281</v>
      </c>
      <c r="K1004" s="6" t="n">
        <v>14</v>
      </c>
      <c r="L1004" s="7" t="s">
        <v>2021</v>
      </c>
      <c r="M1004" s="6" t="n">
        <v>5</v>
      </c>
      <c r="N1004" s="7" t="s">
        <v>40</v>
      </c>
    </row>
    <row r="1005" customFormat="false" ht="15" hidden="false" customHeight="false" outlineLevel="0" collapsed="false">
      <c r="A1005" s="6" t="n">
        <v>1004</v>
      </c>
      <c r="B1005" s="7" t="s">
        <v>1792</v>
      </c>
      <c r="C1005" s="7" t="s">
        <v>2018</v>
      </c>
      <c r="D1005" s="8" t="s">
        <v>2030</v>
      </c>
      <c r="E1005" s="7" t="s">
        <v>2031</v>
      </c>
      <c r="F1005" s="6" t="s">
        <v>37</v>
      </c>
      <c r="G1005" s="7" t="s">
        <v>27</v>
      </c>
      <c r="H1005" s="7" t="s">
        <v>38</v>
      </c>
      <c r="I1005" s="7" t="s">
        <v>153</v>
      </c>
      <c r="J1005" s="6" t="s">
        <v>1281</v>
      </c>
      <c r="K1005" s="6" t="n">
        <v>14</v>
      </c>
      <c r="L1005" s="7" t="s">
        <v>2021</v>
      </c>
      <c r="M1005" s="6" t="n">
        <v>6</v>
      </c>
      <c r="N1005" s="7" t="s">
        <v>40</v>
      </c>
    </row>
    <row r="1006" customFormat="false" ht="15" hidden="false" customHeight="false" outlineLevel="0" collapsed="false">
      <c r="A1006" s="6" t="n">
        <v>1005</v>
      </c>
      <c r="B1006" s="7" t="s">
        <v>1792</v>
      </c>
      <c r="C1006" s="7" t="s">
        <v>2018</v>
      </c>
      <c r="D1006" s="8" t="s">
        <v>2032</v>
      </c>
      <c r="E1006" s="7" t="s">
        <v>2033</v>
      </c>
      <c r="F1006" s="6" t="s">
        <v>37</v>
      </c>
      <c r="G1006" s="7" t="s">
        <v>27</v>
      </c>
      <c r="H1006" s="7" t="s">
        <v>38</v>
      </c>
      <c r="I1006" s="7" t="s">
        <v>793</v>
      </c>
      <c r="J1006" s="6" t="s">
        <v>1281</v>
      </c>
      <c r="K1006" s="6" t="n">
        <v>14</v>
      </c>
      <c r="L1006" s="7" t="s">
        <v>2021</v>
      </c>
      <c r="M1006" s="6" t="n">
        <v>7</v>
      </c>
      <c r="N1006" s="7" t="s">
        <v>40</v>
      </c>
    </row>
    <row r="1007" customFormat="false" ht="15" hidden="false" customHeight="false" outlineLevel="0" collapsed="false">
      <c r="A1007" s="6" t="n">
        <v>1006</v>
      </c>
      <c r="B1007" s="7" t="s">
        <v>1792</v>
      </c>
      <c r="C1007" s="7" t="s">
        <v>2018</v>
      </c>
      <c r="D1007" s="8" t="s">
        <v>2034</v>
      </c>
      <c r="E1007" s="7" t="s">
        <v>2035</v>
      </c>
      <c r="F1007" s="6" t="s">
        <v>82</v>
      </c>
      <c r="G1007" s="7" t="s">
        <v>27</v>
      </c>
      <c r="H1007" s="7" t="s">
        <v>38</v>
      </c>
      <c r="I1007" s="7" t="s">
        <v>1390</v>
      </c>
      <c r="J1007" s="6" t="s">
        <v>1281</v>
      </c>
      <c r="K1007" s="6" t="n">
        <v>14</v>
      </c>
      <c r="L1007" s="7" t="s">
        <v>2021</v>
      </c>
      <c r="M1007" s="6" t="n">
        <v>8</v>
      </c>
      <c r="N1007" s="7" t="s">
        <v>40</v>
      </c>
    </row>
    <row r="1008" customFormat="false" ht="15" hidden="false" customHeight="false" outlineLevel="0" collapsed="false">
      <c r="A1008" s="6" t="n">
        <v>1007</v>
      </c>
      <c r="B1008" s="7" t="s">
        <v>1276</v>
      </c>
      <c r="C1008" s="7" t="s">
        <v>2018</v>
      </c>
      <c r="D1008" s="8" t="s">
        <v>2036</v>
      </c>
      <c r="E1008" s="7" t="s">
        <v>2037</v>
      </c>
      <c r="F1008" s="6" t="s">
        <v>82</v>
      </c>
      <c r="G1008" s="7" t="s">
        <v>27</v>
      </c>
      <c r="H1008" s="7" t="s">
        <v>38</v>
      </c>
      <c r="I1008" s="7" t="s">
        <v>588</v>
      </c>
      <c r="J1008" s="6" t="s">
        <v>1281</v>
      </c>
      <c r="K1008" s="6" t="n">
        <v>14</v>
      </c>
      <c r="L1008" s="7" t="s">
        <v>2021</v>
      </c>
      <c r="M1008" s="6" t="n">
        <v>9</v>
      </c>
      <c r="N1008" s="7" t="s">
        <v>40</v>
      </c>
    </row>
    <row r="1009" customFormat="false" ht="44" hidden="false" customHeight="false" outlineLevel="0" collapsed="false">
      <c r="A1009" s="6" t="n">
        <v>1008</v>
      </c>
      <c r="B1009" s="7" t="s">
        <v>1276</v>
      </c>
      <c r="C1009" s="7" t="s">
        <v>2018</v>
      </c>
      <c r="D1009" s="8" t="s">
        <v>2038</v>
      </c>
      <c r="E1009" s="7" t="s">
        <v>2039</v>
      </c>
      <c r="F1009" s="6" t="s">
        <v>26</v>
      </c>
      <c r="G1009" s="7" t="s">
        <v>27</v>
      </c>
      <c r="H1009" s="7" t="s">
        <v>38</v>
      </c>
      <c r="I1009" s="7" t="s">
        <v>2040</v>
      </c>
      <c r="J1009" s="6" t="s">
        <v>1281</v>
      </c>
      <c r="K1009" s="6" t="n">
        <v>14</v>
      </c>
      <c r="L1009" s="7" t="s">
        <v>2021</v>
      </c>
      <c r="M1009" s="6" t="n">
        <v>10</v>
      </c>
      <c r="N1009" s="7" t="s">
        <v>40</v>
      </c>
    </row>
    <row r="1010" customFormat="false" ht="44" hidden="false" customHeight="false" outlineLevel="0" collapsed="false">
      <c r="A1010" s="6" t="n">
        <v>1009</v>
      </c>
      <c r="B1010" s="7" t="s">
        <v>1276</v>
      </c>
      <c r="C1010" s="7" t="s">
        <v>2018</v>
      </c>
      <c r="D1010" s="8" t="s">
        <v>2041</v>
      </c>
      <c r="E1010" s="7" t="s">
        <v>2025</v>
      </c>
      <c r="F1010" s="6" t="s">
        <v>26</v>
      </c>
      <c r="G1010" s="7" t="s">
        <v>27</v>
      </c>
      <c r="H1010" s="7" t="s">
        <v>38</v>
      </c>
      <c r="I1010" s="7" t="s">
        <v>1014</v>
      </c>
      <c r="J1010" s="6" t="s">
        <v>1281</v>
      </c>
      <c r="K1010" s="6" t="n">
        <v>14</v>
      </c>
      <c r="L1010" s="7" t="s">
        <v>2021</v>
      </c>
      <c r="M1010" s="6" t="n">
        <v>11</v>
      </c>
      <c r="N1010" s="7" t="s">
        <v>40</v>
      </c>
    </row>
    <row r="1011" customFormat="false" ht="15" hidden="false" customHeight="false" outlineLevel="0" collapsed="false">
      <c r="A1011" s="6" t="n">
        <v>1010</v>
      </c>
      <c r="B1011" s="7" t="s">
        <v>522</v>
      </c>
      <c r="C1011" s="7" t="s">
        <v>2042</v>
      </c>
      <c r="D1011" s="8" t="s">
        <v>2043</v>
      </c>
      <c r="E1011" s="7" t="s">
        <v>2044</v>
      </c>
      <c r="F1011" s="6" t="s">
        <v>526</v>
      </c>
      <c r="G1011" s="7" t="s">
        <v>43</v>
      </c>
      <c r="H1011" s="7" t="s">
        <v>20</v>
      </c>
      <c r="I1011" s="7" t="s">
        <v>532</v>
      </c>
      <c r="J1011" s="6" t="s">
        <v>2045</v>
      </c>
      <c r="K1011" s="6" t="n">
        <v>1</v>
      </c>
      <c r="L1011" s="7" t="s">
        <v>2046</v>
      </c>
      <c r="M1011" s="6" t="n">
        <v>1</v>
      </c>
      <c r="N1011" s="7" t="s">
        <v>24</v>
      </c>
    </row>
    <row r="1012" customFormat="false" ht="15" hidden="false" customHeight="false" outlineLevel="0" collapsed="false">
      <c r="A1012" s="6" t="n">
        <v>1011</v>
      </c>
      <c r="B1012" s="7" t="s">
        <v>522</v>
      </c>
      <c r="C1012" s="7" t="s">
        <v>2042</v>
      </c>
      <c r="D1012" s="8" t="s">
        <v>2047</v>
      </c>
      <c r="E1012" s="7" t="s">
        <v>2048</v>
      </c>
      <c r="F1012" s="6" t="s">
        <v>526</v>
      </c>
      <c r="G1012" s="7" t="s">
        <v>43</v>
      </c>
      <c r="H1012" s="7" t="s">
        <v>20</v>
      </c>
      <c r="I1012" s="7" t="s">
        <v>595</v>
      </c>
      <c r="J1012" s="6" t="s">
        <v>2045</v>
      </c>
      <c r="K1012" s="6" t="n">
        <v>1</v>
      </c>
      <c r="L1012" s="7" t="s">
        <v>2046</v>
      </c>
      <c r="M1012" s="6" t="n">
        <v>2</v>
      </c>
      <c r="N1012" s="7" t="s">
        <v>24</v>
      </c>
    </row>
    <row r="1013" customFormat="false" ht="29.85" hidden="false" customHeight="false" outlineLevel="0" collapsed="false">
      <c r="A1013" s="6" t="n">
        <v>1012</v>
      </c>
      <c r="B1013" s="7" t="s">
        <v>522</v>
      </c>
      <c r="C1013" s="7" t="s">
        <v>2042</v>
      </c>
      <c r="D1013" s="8" t="s">
        <v>2049</v>
      </c>
      <c r="E1013" s="7" t="s">
        <v>2044</v>
      </c>
      <c r="F1013" s="6" t="s">
        <v>526</v>
      </c>
      <c r="G1013" s="7" t="s">
        <v>43</v>
      </c>
      <c r="H1013" s="7" t="s">
        <v>20</v>
      </c>
      <c r="I1013" s="7" t="s">
        <v>192</v>
      </c>
      <c r="J1013" s="6" t="s">
        <v>2045</v>
      </c>
      <c r="K1013" s="6" t="n">
        <v>1</v>
      </c>
      <c r="L1013" s="7" t="s">
        <v>2046</v>
      </c>
      <c r="M1013" s="6" t="n">
        <v>3</v>
      </c>
      <c r="N1013" s="7" t="s">
        <v>24</v>
      </c>
    </row>
    <row r="1014" customFormat="false" ht="29.85" hidden="false" customHeight="false" outlineLevel="0" collapsed="false">
      <c r="A1014" s="6" t="n">
        <v>1013</v>
      </c>
      <c r="B1014" s="7" t="s">
        <v>522</v>
      </c>
      <c r="C1014" s="7" t="s">
        <v>2042</v>
      </c>
      <c r="D1014" s="8" t="s">
        <v>2050</v>
      </c>
      <c r="E1014" s="7" t="s">
        <v>2048</v>
      </c>
      <c r="F1014" s="6" t="s">
        <v>526</v>
      </c>
      <c r="G1014" s="7" t="s">
        <v>43</v>
      </c>
      <c r="H1014" s="7" t="s">
        <v>20</v>
      </c>
      <c r="I1014" s="7" t="s">
        <v>150</v>
      </c>
      <c r="J1014" s="6" t="s">
        <v>2045</v>
      </c>
      <c r="K1014" s="6" t="n">
        <v>1</v>
      </c>
      <c r="L1014" s="7" t="s">
        <v>2046</v>
      </c>
      <c r="M1014" s="6" t="n">
        <v>4</v>
      </c>
      <c r="N1014" s="7" t="s">
        <v>24</v>
      </c>
    </row>
    <row r="1015" customFormat="false" ht="15" hidden="false" customHeight="false" outlineLevel="0" collapsed="false">
      <c r="A1015" s="6" t="n">
        <v>1014</v>
      </c>
      <c r="B1015" s="7" t="s">
        <v>522</v>
      </c>
      <c r="C1015" s="7" t="s">
        <v>2042</v>
      </c>
      <c r="D1015" s="8" t="s">
        <v>2051</v>
      </c>
      <c r="E1015" s="7" t="s">
        <v>2052</v>
      </c>
      <c r="F1015" s="6" t="s">
        <v>82</v>
      </c>
      <c r="G1015" s="7" t="s">
        <v>27</v>
      </c>
      <c r="H1015" s="7" t="s">
        <v>38</v>
      </c>
      <c r="I1015" s="7" t="s">
        <v>1096</v>
      </c>
      <c r="J1015" s="6" t="s">
        <v>2045</v>
      </c>
      <c r="K1015" s="6" t="n">
        <v>1</v>
      </c>
      <c r="L1015" s="7" t="s">
        <v>2046</v>
      </c>
      <c r="M1015" s="6" t="n">
        <v>5</v>
      </c>
      <c r="N1015" s="7" t="s">
        <v>40</v>
      </c>
    </row>
    <row r="1016" customFormat="false" ht="29.85" hidden="false" customHeight="false" outlineLevel="0" collapsed="false">
      <c r="A1016" s="6" t="n">
        <v>1015</v>
      </c>
      <c r="B1016" s="7" t="s">
        <v>522</v>
      </c>
      <c r="C1016" s="7" t="s">
        <v>2042</v>
      </c>
      <c r="D1016" s="8" t="s">
        <v>2053</v>
      </c>
      <c r="E1016" s="7" t="s">
        <v>2054</v>
      </c>
      <c r="F1016" s="6" t="s">
        <v>2055</v>
      </c>
      <c r="G1016" s="7" t="s">
        <v>27</v>
      </c>
      <c r="H1016" s="7" t="s">
        <v>20</v>
      </c>
      <c r="I1016" s="7" t="s">
        <v>289</v>
      </c>
      <c r="J1016" s="6" t="s">
        <v>2045</v>
      </c>
      <c r="K1016" s="6" t="n">
        <v>1</v>
      </c>
      <c r="L1016" s="7" t="s">
        <v>2046</v>
      </c>
      <c r="M1016" s="6" t="n">
        <v>6</v>
      </c>
      <c r="N1016" s="7" t="s">
        <v>24</v>
      </c>
    </row>
    <row r="1017" customFormat="false" ht="29.85" hidden="false" customHeight="false" outlineLevel="0" collapsed="false">
      <c r="A1017" s="6" t="n">
        <v>1016</v>
      </c>
      <c r="B1017" s="7" t="s">
        <v>522</v>
      </c>
      <c r="C1017" s="7" t="s">
        <v>2042</v>
      </c>
      <c r="D1017" s="8" t="s">
        <v>2056</v>
      </c>
      <c r="E1017" s="7" t="s">
        <v>2057</v>
      </c>
      <c r="F1017" s="6" t="s">
        <v>2055</v>
      </c>
      <c r="G1017" s="7" t="s">
        <v>27</v>
      </c>
      <c r="H1017" s="7" t="s">
        <v>38</v>
      </c>
      <c r="I1017" s="7" t="s">
        <v>637</v>
      </c>
      <c r="J1017" s="6" t="s">
        <v>2045</v>
      </c>
      <c r="K1017" s="6" t="n">
        <v>1</v>
      </c>
      <c r="L1017" s="7" t="s">
        <v>2046</v>
      </c>
      <c r="M1017" s="6" t="n">
        <v>7</v>
      </c>
      <c r="N1017" s="7" t="s">
        <v>40</v>
      </c>
    </row>
    <row r="1018" customFormat="false" ht="29.85" hidden="false" customHeight="false" outlineLevel="0" collapsed="false">
      <c r="A1018" s="6" t="n">
        <v>1017</v>
      </c>
      <c r="B1018" s="7" t="s">
        <v>522</v>
      </c>
      <c r="C1018" s="7" t="s">
        <v>2042</v>
      </c>
      <c r="D1018" s="8" t="s">
        <v>2058</v>
      </c>
      <c r="E1018" s="7" t="s">
        <v>2059</v>
      </c>
      <c r="F1018" s="6" t="s">
        <v>2055</v>
      </c>
      <c r="G1018" s="7" t="s">
        <v>27</v>
      </c>
      <c r="H1018" s="7" t="s">
        <v>38</v>
      </c>
      <c r="I1018" s="7" t="s">
        <v>309</v>
      </c>
      <c r="J1018" s="6" t="s">
        <v>2045</v>
      </c>
      <c r="K1018" s="6" t="n">
        <v>1</v>
      </c>
      <c r="L1018" s="7" t="s">
        <v>2046</v>
      </c>
      <c r="M1018" s="6" t="n">
        <v>8</v>
      </c>
      <c r="N1018" s="7" t="s">
        <v>40</v>
      </c>
    </row>
    <row r="1019" customFormat="false" ht="29.85" hidden="false" customHeight="false" outlineLevel="0" collapsed="false">
      <c r="A1019" s="6" t="n">
        <v>1018</v>
      </c>
      <c r="B1019" s="7" t="s">
        <v>522</v>
      </c>
      <c r="C1019" s="7" t="s">
        <v>2042</v>
      </c>
      <c r="D1019" s="9" t="s">
        <v>2060</v>
      </c>
      <c r="E1019" s="7" t="s">
        <v>2061</v>
      </c>
      <c r="F1019" s="6" t="s">
        <v>2055</v>
      </c>
      <c r="G1019" s="7" t="s">
        <v>27</v>
      </c>
      <c r="H1019" s="7" t="s">
        <v>38</v>
      </c>
      <c r="I1019" s="7" t="s">
        <v>309</v>
      </c>
      <c r="J1019" s="6" t="s">
        <v>2045</v>
      </c>
      <c r="K1019" s="6" t="n">
        <v>1</v>
      </c>
      <c r="L1019" s="7" t="s">
        <v>2046</v>
      </c>
      <c r="M1019" s="6" t="n">
        <v>9</v>
      </c>
      <c r="N1019" s="7" t="s">
        <v>40</v>
      </c>
    </row>
    <row r="1020" customFormat="false" ht="29.85" hidden="false" customHeight="false" outlineLevel="0" collapsed="false">
      <c r="A1020" s="6" t="n">
        <v>1019</v>
      </c>
      <c r="B1020" s="7" t="s">
        <v>522</v>
      </c>
      <c r="C1020" s="7" t="s">
        <v>2042</v>
      </c>
      <c r="D1020" s="8" t="s">
        <v>2062</v>
      </c>
      <c r="E1020" s="7" t="s">
        <v>2054</v>
      </c>
      <c r="F1020" s="6" t="s">
        <v>2055</v>
      </c>
      <c r="G1020" s="7" t="s">
        <v>27</v>
      </c>
      <c r="H1020" s="7" t="s">
        <v>38</v>
      </c>
      <c r="I1020" s="7" t="s">
        <v>309</v>
      </c>
      <c r="J1020" s="6" t="s">
        <v>2045</v>
      </c>
      <c r="K1020" s="6" t="n">
        <v>1</v>
      </c>
      <c r="L1020" s="7" t="s">
        <v>2046</v>
      </c>
      <c r="M1020" s="6" t="n">
        <v>10</v>
      </c>
      <c r="N1020" s="7" t="s">
        <v>40</v>
      </c>
    </row>
    <row r="1021" customFormat="false" ht="29.85" hidden="false" customHeight="false" outlineLevel="0" collapsed="false">
      <c r="A1021" s="6" t="n">
        <v>1020</v>
      </c>
      <c r="B1021" s="7" t="s">
        <v>522</v>
      </c>
      <c r="C1021" s="7" t="s">
        <v>2042</v>
      </c>
      <c r="D1021" s="8" t="s">
        <v>2063</v>
      </c>
      <c r="E1021" s="7" t="s">
        <v>2054</v>
      </c>
      <c r="F1021" s="6" t="s">
        <v>2055</v>
      </c>
      <c r="G1021" s="7" t="s">
        <v>27</v>
      </c>
      <c r="H1021" s="7" t="s">
        <v>38</v>
      </c>
      <c r="I1021" s="7" t="s">
        <v>565</v>
      </c>
      <c r="J1021" s="6" t="s">
        <v>2045</v>
      </c>
      <c r="K1021" s="6" t="n">
        <v>1</v>
      </c>
      <c r="L1021" s="7" t="s">
        <v>2046</v>
      </c>
      <c r="M1021" s="6" t="n">
        <v>11</v>
      </c>
      <c r="N1021" s="7" t="s">
        <v>40</v>
      </c>
    </row>
    <row r="1022" customFormat="false" ht="29.85" hidden="false" customHeight="false" outlineLevel="0" collapsed="false">
      <c r="A1022" s="6" t="n">
        <v>1021</v>
      </c>
      <c r="B1022" s="7" t="s">
        <v>522</v>
      </c>
      <c r="C1022" s="7" t="s">
        <v>2042</v>
      </c>
      <c r="D1022" s="8" t="s">
        <v>2064</v>
      </c>
      <c r="E1022" s="7" t="s">
        <v>2065</v>
      </c>
      <c r="F1022" s="6" t="s">
        <v>2055</v>
      </c>
      <c r="G1022" s="7" t="s">
        <v>27</v>
      </c>
      <c r="H1022" s="7" t="s">
        <v>38</v>
      </c>
      <c r="I1022" s="7" t="s">
        <v>470</v>
      </c>
      <c r="J1022" s="6" t="s">
        <v>2045</v>
      </c>
      <c r="K1022" s="6" t="n">
        <v>1</v>
      </c>
      <c r="L1022" s="7" t="s">
        <v>2046</v>
      </c>
      <c r="M1022" s="6" t="n">
        <v>12</v>
      </c>
      <c r="N1022" s="7" t="s">
        <v>40</v>
      </c>
    </row>
    <row r="1023" customFormat="false" ht="29.85" hidden="false" customHeight="false" outlineLevel="0" collapsed="false">
      <c r="A1023" s="3" t="n">
        <v>1022</v>
      </c>
      <c r="B1023" s="4" t="s">
        <v>522</v>
      </c>
      <c r="C1023" s="4" t="s">
        <v>2042</v>
      </c>
      <c r="D1023" s="5" t="s">
        <v>2066</v>
      </c>
      <c r="E1023" s="4" t="s">
        <v>2067</v>
      </c>
      <c r="F1023" s="3" t="s">
        <v>760</v>
      </c>
      <c r="G1023" s="4" t="s">
        <v>19</v>
      </c>
      <c r="H1023" s="4" t="s">
        <v>38</v>
      </c>
      <c r="I1023" s="4" t="s">
        <v>1638</v>
      </c>
      <c r="J1023" s="6" t="s">
        <v>2045</v>
      </c>
      <c r="K1023" s="6" t="n">
        <v>1</v>
      </c>
      <c r="L1023" s="7" t="s">
        <v>2046</v>
      </c>
      <c r="M1023" s="6" t="n">
        <v>13</v>
      </c>
      <c r="N1023" s="7" t="s">
        <v>40</v>
      </c>
    </row>
    <row r="1024" customFormat="false" ht="44" hidden="false" customHeight="false" outlineLevel="0" collapsed="false">
      <c r="A1024" s="6" t="n">
        <v>1023</v>
      </c>
      <c r="B1024" s="7" t="s">
        <v>522</v>
      </c>
      <c r="C1024" s="7" t="s">
        <v>2042</v>
      </c>
      <c r="D1024" s="8" t="s">
        <v>2068</v>
      </c>
      <c r="E1024" s="7" t="s">
        <v>2069</v>
      </c>
      <c r="F1024" s="6" t="s">
        <v>2055</v>
      </c>
      <c r="G1024" s="7" t="s">
        <v>27</v>
      </c>
      <c r="H1024" s="7" t="s">
        <v>38</v>
      </c>
      <c r="I1024" s="7" t="s">
        <v>57</v>
      </c>
      <c r="J1024" s="6" t="s">
        <v>2045</v>
      </c>
      <c r="K1024" s="6" t="n">
        <v>1</v>
      </c>
      <c r="L1024" s="7" t="s">
        <v>2046</v>
      </c>
      <c r="M1024" s="6" t="n">
        <v>14</v>
      </c>
      <c r="N1024" s="7" t="s">
        <v>40</v>
      </c>
    </row>
    <row r="1025" customFormat="false" ht="44" hidden="false" customHeight="false" outlineLevel="0" collapsed="false">
      <c r="A1025" s="3" t="n">
        <v>1024</v>
      </c>
      <c r="B1025" s="4" t="s">
        <v>522</v>
      </c>
      <c r="C1025" s="4" t="s">
        <v>2042</v>
      </c>
      <c r="D1025" s="5" t="s">
        <v>2070</v>
      </c>
      <c r="E1025" s="4" t="s">
        <v>2071</v>
      </c>
      <c r="F1025" s="3" t="s">
        <v>760</v>
      </c>
      <c r="G1025" s="4" t="s">
        <v>19</v>
      </c>
      <c r="H1025" s="4" t="s">
        <v>38</v>
      </c>
      <c r="I1025" s="4" t="s">
        <v>1014</v>
      </c>
      <c r="J1025" s="6" t="s">
        <v>2045</v>
      </c>
      <c r="K1025" s="6" t="n">
        <v>1</v>
      </c>
      <c r="L1025" s="7" t="s">
        <v>2046</v>
      </c>
      <c r="M1025" s="6" t="n">
        <v>15</v>
      </c>
      <c r="N1025" s="7" t="s">
        <v>40</v>
      </c>
    </row>
    <row r="1026" customFormat="false" ht="15" hidden="false" customHeight="false" outlineLevel="0" collapsed="false">
      <c r="A1026" s="6" t="n">
        <v>1025</v>
      </c>
      <c r="B1026" s="7" t="s">
        <v>1792</v>
      </c>
      <c r="C1026" s="7" t="s">
        <v>2072</v>
      </c>
      <c r="D1026" s="8" t="s">
        <v>2073</v>
      </c>
      <c r="E1026" s="7" t="s">
        <v>2074</v>
      </c>
      <c r="F1026" s="6" t="s">
        <v>31</v>
      </c>
      <c r="G1026" s="7" t="s">
        <v>27</v>
      </c>
      <c r="H1026" s="7" t="s">
        <v>20</v>
      </c>
      <c r="I1026" s="7" t="s">
        <v>1288</v>
      </c>
      <c r="J1026" s="6" t="s">
        <v>2045</v>
      </c>
      <c r="K1026" s="6" t="n">
        <v>2</v>
      </c>
      <c r="L1026" s="7" t="s">
        <v>2075</v>
      </c>
      <c r="M1026" s="6" t="n">
        <v>1</v>
      </c>
      <c r="N1026" s="7" t="s">
        <v>24</v>
      </c>
    </row>
    <row r="1027" customFormat="false" ht="15" hidden="false" customHeight="false" outlineLevel="0" collapsed="false">
      <c r="A1027" s="3" t="n">
        <v>1026</v>
      </c>
      <c r="B1027" s="4" t="s">
        <v>1792</v>
      </c>
      <c r="C1027" s="4" t="s">
        <v>2072</v>
      </c>
      <c r="D1027" s="5" t="s">
        <v>2076</v>
      </c>
      <c r="E1027" s="4" t="s">
        <v>2077</v>
      </c>
      <c r="F1027" s="3" t="s">
        <v>760</v>
      </c>
      <c r="G1027" s="4" t="s">
        <v>19</v>
      </c>
      <c r="H1027" s="4" t="s">
        <v>20</v>
      </c>
      <c r="I1027" s="4" t="s">
        <v>176</v>
      </c>
      <c r="J1027" s="6" t="s">
        <v>2045</v>
      </c>
      <c r="K1027" s="6" t="n">
        <v>2</v>
      </c>
      <c r="L1027" s="7" t="s">
        <v>2075</v>
      </c>
      <c r="M1027" s="6" t="n">
        <v>2</v>
      </c>
      <c r="N1027" s="7" t="s">
        <v>24</v>
      </c>
    </row>
    <row r="1028" customFormat="false" ht="15" hidden="false" customHeight="false" outlineLevel="0" collapsed="false">
      <c r="A1028" s="6" t="n">
        <v>1027</v>
      </c>
      <c r="B1028" s="7" t="s">
        <v>1792</v>
      </c>
      <c r="C1028" s="7" t="s">
        <v>2072</v>
      </c>
      <c r="D1028" s="8" t="s">
        <v>2078</v>
      </c>
      <c r="E1028" s="7" t="s">
        <v>2079</v>
      </c>
      <c r="F1028" s="6" t="s">
        <v>2055</v>
      </c>
      <c r="G1028" s="7" t="s">
        <v>27</v>
      </c>
      <c r="H1028" s="7" t="s">
        <v>20</v>
      </c>
      <c r="I1028" s="7" t="s">
        <v>32</v>
      </c>
      <c r="J1028" s="6" t="s">
        <v>2045</v>
      </c>
      <c r="K1028" s="6" t="n">
        <v>2</v>
      </c>
      <c r="L1028" s="7" t="s">
        <v>2075</v>
      </c>
      <c r="M1028" s="6" t="n">
        <v>3</v>
      </c>
      <c r="N1028" s="7" t="s">
        <v>24</v>
      </c>
    </row>
    <row r="1029" customFormat="false" ht="15" hidden="false" customHeight="false" outlineLevel="0" collapsed="false">
      <c r="A1029" s="6" t="n">
        <v>1028</v>
      </c>
      <c r="B1029" s="7" t="s">
        <v>1792</v>
      </c>
      <c r="C1029" s="7" t="s">
        <v>2072</v>
      </c>
      <c r="D1029" s="8" t="s">
        <v>2080</v>
      </c>
      <c r="E1029" s="7" t="s">
        <v>2072</v>
      </c>
      <c r="F1029" s="6" t="s">
        <v>2055</v>
      </c>
      <c r="G1029" s="7" t="s">
        <v>27</v>
      </c>
      <c r="H1029" s="7" t="s">
        <v>20</v>
      </c>
      <c r="I1029" s="7" t="s">
        <v>138</v>
      </c>
      <c r="J1029" s="6" t="s">
        <v>2045</v>
      </c>
      <c r="K1029" s="6" t="n">
        <v>2</v>
      </c>
      <c r="L1029" s="7" t="s">
        <v>2075</v>
      </c>
      <c r="M1029" s="6" t="n">
        <v>4</v>
      </c>
      <c r="N1029" s="7" t="s">
        <v>24</v>
      </c>
    </row>
    <row r="1030" customFormat="false" ht="15" hidden="false" customHeight="false" outlineLevel="0" collapsed="false">
      <c r="A1030" s="6" t="n">
        <v>1029</v>
      </c>
      <c r="B1030" s="7" t="s">
        <v>1792</v>
      </c>
      <c r="C1030" s="7" t="s">
        <v>2072</v>
      </c>
      <c r="D1030" s="8" t="s">
        <v>2081</v>
      </c>
      <c r="E1030" s="6" t="s">
        <v>2082</v>
      </c>
      <c r="F1030" s="6" t="s">
        <v>37</v>
      </c>
      <c r="G1030" s="7" t="s">
        <v>27</v>
      </c>
      <c r="H1030" s="7" t="s">
        <v>38</v>
      </c>
      <c r="I1030" s="7" t="s">
        <v>1348</v>
      </c>
      <c r="J1030" s="6" t="s">
        <v>2045</v>
      </c>
      <c r="K1030" s="6" t="n">
        <v>2</v>
      </c>
      <c r="L1030" s="7" t="s">
        <v>2075</v>
      </c>
      <c r="M1030" s="6" t="n">
        <v>5</v>
      </c>
      <c r="N1030" s="7" t="s">
        <v>40</v>
      </c>
    </row>
    <row r="1031" customFormat="false" ht="15" hidden="false" customHeight="false" outlineLevel="0" collapsed="false">
      <c r="A1031" s="6" t="n">
        <v>1030</v>
      </c>
      <c r="B1031" s="7" t="s">
        <v>1792</v>
      </c>
      <c r="C1031" s="7" t="s">
        <v>2072</v>
      </c>
      <c r="D1031" s="8" t="s">
        <v>2083</v>
      </c>
      <c r="E1031" s="7" t="s">
        <v>2084</v>
      </c>
      <c r="F1031" s="6" t="s">
        <v>37</v>
      </c>
      <c r="G1031" s="7" t="s">
        <v>27</v>
      </c>
      <c r="H1031" s="7" t="s">
        <v>38</v>
      </c>
      <c r="I1031" s="7" t="s">
        <v>1348</v>
      </c>
      <c r="J1031" s="6" t="s">
        <v>2045</v>
      </c>
      <c r="K1031" s="6" t="n">
        <v>2</v>
      </c>
      <c r="L1031" s="7" t="s">
        <v>2075</v>
      </c>
      <c r="M1031" s="6" t="n">
        <v>6</v>
      </c>
      <c r="N1031" s="7" t="s">
        <v>40</v>
      </c>
    </row>
    <row r="1032" customFormat="false" ht="15" hidden="false" customHeight="false" outlineLevel="0" collapsed="false">
      <c r="A1032" s="6" t="n">
        <v>1031</v>
      </c>
      <c r="B1032" s="7" t="s">
        <v>1792</v>
      </c>
      <c r="C1032" s="7" t="s">
        <v>2072</v>
      </c>
      <c r="D1032" s="8" t="s">
        <v>2085</v>
      </c>
      <c r="E1032" s="7" t="s">
        <v>2086</v>
      </c>
      <c r="F1032" s="6" t="s">
        <v>37</v>
      </c>
      <c r="G1032" s="7" t="s">
        <v>27</v>
      </c>
      <c r="H1032" s="7" t="s">
        <v>38</v>
      </c>
      <c r="I1032" s="7" t="s">
        <v>1348</v>
      </c>
      <c r="J1032" s="6" t="s">
        <v>2045</v>
      </c>
      <c r="K1032" s="6" t="n">
        <v>2</v>
      </c>
      <c r="L1032" s="7" t="s">
        <v>2075</v>
      </c>
      <c r="M1032" s="6" t="n">
        <v>7</v>
      </c>
      <c r="N1032" s="7" t="s">
        <v>40</v>
      </c>
    </row>
    <row r="1033" customFormat="false" ht="15" hidden="false" customHeight="false" outlineLevel="0" collapsed="false">
      <c r="A1033" s="6" t="n">
        <v>1032</v>
      </c>
      <c r="B1033" s="7" t="s">
        <v>1792</v>
      </c>
      <c r="C1033" s="7" t="s">
        <v>2072</v>
      </c>
      <c r="D1033" s="8" t="s">
        <v>2087</v>
      </c>
      <c r="E1033" s="7" t="s">
        <v>2088</v>
      </c>
      <c r="F1033" s="6" t="s">
        <v>37</v>
      </c>
      <c r="G1033" s="7" t="s">
        <v>27</v>
      </c>
      <c r="H1033" s="7" t="s">
        <v>38</v>
      </c>
      <c r="I1033" s="7" t="s">
        <v>1348</v>
      </c>
      <c r="J1033" s="6" t="s">
        <v>2045</v>
      </c>
      <c r="K1033" s="6" t="n">
        <v>2</v>
      </c>
      <c r="L1033" s="7" t="s">
        <v>2075</v>
      </c>
      <c r="M1033" s="6" t="n">
        <v>8</v>
      </c>
      <c r="N1033" s="7" t="s">
        <v>40</v>
      </c>
    </row>
    <row r="1034" customFormat="false" ht="15" hidden="false" customHeight="false" outlineLevel="0" collapsed="false">
      <c r="A1034" s="6" t="n">
        <v>1033</v>
      </c>
      <c r="B1034" s="7" t="s">
        <v>1792</v>
      </c>
      <c r="C1034" s="7" t="s">
        <v>2072</v>
      </c>
      <c r="D1034" s="8" t="s">
        <v>2089</v>
      </c>
      <c r="E1034" s="7" t="s">
        <v>2090</v>
      </c>
      <c r="F1034" s="6" t="s">
        <v>37</v>
      </c>
      <c r="G1034" s="7" t="s">
        <v>27</v>
      </c>
      <c r="H1034" s="7" t="s">
        <v>38</v>
      </c>
      <c r="I1034" s="7" t="s">
        <v>1348</v>
      </c>
      <c r="J1034" s="6" t="s">
        <v>2045</v>
      </c>
      <c r="K1034" s="6" t="n">
        <v>2</v>
      </c>
      <c r="L1034" s="7" t="s">
        <v>2075</v>
      </c>
      <c r="M1034" s="6" t="n">
        <v>9</v>
      </c>
      <c r="N1034" s="7" t="s">
        <v>40</v>
      </c>
    </row>
    <row r="1035" customFormat="false" ht="15" hidden="false" customHeight="false" outlineLevel="0" collapsed="false">
      <c r="A1035" s="6" t="n">
        <v>1034</v>
      </c>
      <c r="B1035" s="7" t="s">
        <v>1792</v>
      </c>
      <c r="C1035" s="7" t="s">
        <v>2072</v>
      </c>
      <c r="D1035" s="8" t="s">
        <v>2091</v>
      </c>
      <c r="E1035" s="7" t="s">
        <v>2092</v>
      </c>
      <c r="F1035" s="6" t="s">
        <v>37</v>
      </c>
      <c r="G1035" s="7" t="s">
        <v>27</v>
      </c>
      <c r="H1035" s="7" t="s">
        <v>38</v>
      </c>
      <c r="I1035" s="7" t="s">
        <v>1348</v>
      </c>
      <c r="J1035" s="6" t="s">
        <v>2045</v>
      </c>
      <c r="K1035" s="6" t="n">
        <v>2</v>
      </c>
      <c r="L1035" s="7" t="s">
        <v>2075</v>
      </c>
      <c r="M1035" s="6" t="n">
        <v>10</v>
      </c>
      <c r="N1035" s="7" t="s">
        <v>40</v>
      </c>
    </row>
    <row r="1036" customFormat="false" ht="15" hidden="false" customHeight="false" outlineLevel="0" collapsed="false">
      <c r="A1036" s="6" t="n">
        <v>1035</v>
      </c>
      <c r="B1036" s="7" t="s">
        <v>1792</v>
      </c>
      <c r="C1036" s="7" t="s">
        <v>2072</v>
      </c>
      <c r="D1036" s="8" t="s">
        <v>2093</v>
      </c>
      <c r="E1036" s="7" t="s">
        <v>2094</v>
      </c>
      <c r="F1036" s="6" t="s">
        <v>37</v>
      </c>
      <c r="G1036" s="7" t="s">
        <v>27</v>
      </c>
      <c r="H1036" s="7" t="s">
        <v>38</v>
      </c>
      <c r="I1036" s="7" t="s">
        <v>83</v>
      </c>
      <c r="J1036" s="6" t="s">
        <v>2045</v>
      </c>
      <c r="K1036" s="6" t="n">
        <v>2</v>
      </c>
      <c r="L1036" s="7" t="s">
        <v>2075</v>
      </c>
      <c r="M1036" s="6" t="n">
        <v>11</v>
      </c>
      <c r="N1036" s="7" t="s">
        <v>40</v>
      </c>
    </row>
    <row r="1037" customFormat="false" ht="15" hidden="false" customHeight="false" outlineLevel="0" collapsed="false">
      <c r="A1037" s="6" t="n">
        <v>1036</v>
      </c>
      <c r="B1037" s="7" t="s">
        <v>1792</v>
      </c>
      <c r="C1037" s="7" t="s">
        <v>2072</v>
      </c>
      <c r="D1037" s="8" t="s">
        <v>2095</v>
      </c>
      <c r="E1037" s="7" t="s">
        <v>2096</v>
      </c>
      <c r="F1037" s="6" t="s">
        <v>37</v>
      </c>
      <c r="G1037" s="7" t="s">
        <v>27</v>
      </c>
      <c r="H1037" s="7" t="s">
        <v>38</v>
      </c>
      <c r="I1037" s="7" t="s">
        <v>95</v>
      </c>
      <c r="J1037" s="6" t="s">
        <v>2045</v>
      </c>
      <c r="K1037" s="6" t="n">
        <v>2</v>
      </c>
      <c r="L1037" s="7" t="s">
        <v>2075</v>
      </c>
      <c r="M1037" s="6" t="n">
        <v>12</v>
      </c>
      <c r="N1037" s="7" t="s">
        <v>40</v>
      </c>
    </row>
    <row r="1038" customFormat="false" ht="15" hidden="false" customHeight="false" outlineLevel="0" collapsed="false">
      <c r="A1038" s="6" t="n">
        <v>1037</v>
      </c>
      <c r="B1038" s="7" t="s">
        <v>1792</v>
      </c>
      <c r="C1038" s="7" t="s">
        <v>2072</v>
      </c>
      <c r="D1038" s="8" t="s">
        <v>2097</v>
      </c>
      <c r="E1038" s="7" t="s">
        <v>2098</v>
      </c>
      <c r="F1038" s="6" t="s">
        <v>37</v>
      </c>
      <c r="G1038" s="7" t="s">
        <v>27</v>
      </c>
      <c r="H1038" s="7" t="s">
        <v>38</v>
      </c>
      <c r="I1038" s="7" t="s">
        <v>95</v>
      </c>
      <c r="J1038" s="6" t="s">
        <v>2045</v>
      </c>
      <c r="K1038" s="6" t="n">
        <v>2</v>
      </c>
      <c r="L1038" s="7" t="s">
        <v>2075</v>
      </c>
      <c r="M1038" s="6" t="n">
        <v>13</v>
      </c>
      <c r="N1038" s="7" t="s">
        <v>40</v>
      </c>
    </row>
    <row r="1039" customFormat="false" ht="15" hidden="false" customHeight="false" outlineLevel="0" collapsed="false">
      <c r="A1039" s="6" t="n">
        <v>1038</v>
      </c>
      <c r="B1039" s="7" t="s">
        <v>1792</v>
      </c>
      <c r="C1039" s="7" t="s">
        <v>2072</v>
      </c>
      <c r="D1039" s="8" t="s">
        <v>2099</v>
      </c>
      <c r="E1039" s="7" t="s">
        <v>2100</v>
      </c>
      <c r="F1039" s="6" t="s">
        <v>37</v>
      </c>
      <c r="G1039" s="7" t="s">
        <v>27</v>
      </c>
      <c r="H1039" s="7" t="s">
        <v>38</v>
      </c>
      <c r="I1039" s="7" t="s">
        <v>95</v>
      </c>
      <c r="J1039" s="6" t="s">
        <v>2045</v>
      </c>
      <c r="K1039" s="6" t="n">
        <v>2</v>
      </c>
      <c r="L1039" s="7" t="s">
        <v>2075</v>
      </c>
      <c r="M1039" s="6" t="n">
        <v>14</v>
      </c>
      <c r="N1039" s="7" t="s">
        <v>40</v>
      </c>
    </row>
    <row r="1040" customFormat="false" ht="15" hidden="false" customHeight="false" outlineLevel="0" collapsed="false">
      <c r="A1040" s="6" t="n">
        <v>1039</v>
      </c>
      <c r="B1040" s="7" t="s">
        <v>1792</v>
      </c>
      <c r="C1040" s="7" t="s">
        <v>2072</v>
      </c>
      <c r="D1040" s="8" t="s">
        <v>2101</v>
      </c>
      <c r="E1040" s="7" t="s">
        <v>2102</v>
      </c>
      <c r="F1040" s="6" t="s">
        <v>37</v>
      </c>
      <c r="G1040" s="7" t="s">
        <v>27</v>
      </c>
      <c r="H1040" s="7" t="s">
        <v>38</v>
      </c>
      <c r="I1040" s="7" t="s">
        <v>108</v>
      </c>
      <c r="J1040" s="6" t="s">
        <v>2045</v>
      </c>
      <c r="K1040" s="6" t="n">
        <v>2</v>
      </c>
      <c r="L1040" s="7" t="s">
        <v>2075</v>
      </c>
      <c r="M1040" s="6" t="n">
        <v>15</v>
      </c>
      <c r="N1040" s="7" t="s">
        <v>40</v>
      </c>
    </row>
    <row r="1041" customFormat="false" ht="15" hidden="false" customHeight="false" outlineLevel="0" collapsed="false">
      <c r="A1041" s="6" t="n">
        <v>1040</v>
      </c>
      <c r="B1041" s="7" t="s">
        <v>1792</v>
      </c>
      <c r="C1041" s="7" t="s">
        <v>2072</v>
      </c>
      <c r="D1041" s="8" t="s">
        <v>2103</v>
      </c>
      <c r="E1041" s="7" t="s">
        <v>2104</v>
      </c>
      <c r="F1041" s="6" t="s">
        <v>37</v>
      </c>
      <c r="G1041" s="7" t="s">
        <v>27</v>
      </c>
      <c r="H1041" s="7" t="s">
        <v>38</v>
      </c>
      <c r="I1041" s="7" t="s">
        <v>120</v>
      </c>
      <c r="J1041" s="6" t="s">
        <v>2045</v>
      </c>
      <c r="K1041" s="6" t="n">
        <v>2</v>
      </c>
      <c r="L1041" s="7" t="s">
        <v>2075</v>
      </c>
      <c r="M1041" s="6" t="n">
        <v>16</v>
      </c>
      <c r="N1041" s="7" t="s">
        <v>40</v>
      </c>
    </row>
    <row r="1042" customFormat="false" ht="15" hidden="false" customHeight="false" outlineLevel="0" collapsed="false">
      <c r="A1042" s="3" t="n">
        <v>1041</v>
      </c>
      <c r="B1042" s="4" t="s">
        <v>1792</v>
      </c>
      <c r="C1042" s="4" t="s">
        <v>2072</v>
      </c>
      <c r="D1042" s="5" t="s">
        <v>2105</v>
      </c>
      <c r="E1042" s="4" t="s">
        <v>2106</v>
      </c>
      <c r="F1042" s="3" t="s">
        <v>760</v>
      </c>
      <c r="G1042" s="4" t="s">
        <v>19</v>
      </c>
      <c r="H1042" s="4" t="s">
        <v>38</v>
      </c>
      <c r="I1042" s="4" t="s">
        <v>963</v>
      </c>
      <c r="J1042" s="6" t="s">
        <v>2045</v>
      </c>
      <c r="K1042" s="6" t="n">
        <v>2</v>
      </c>
      <c r="L1042" s="7" t="s">
        <v>2075</v>
      </c>
      <c r="M1042" s="6" t="n">
        <v>17</v>
      </c>
      <c r="N1042" s="7" t="s">
        <v>40</v>
      </c>
    </row>
    <row r="1043" customFormat="false" ht="15" hidden="false" customHeight="false" outlineLevel="0" collapsed="false">
      <c r="A1043" s="3" t="n">
        <v>1042</v>
      </c>
      <c r="B1043" s="4" t="s">
        <v>1792</v>
      </c>
      <c r="C1043" s="4" t="s">
        <v>2072</v>
      </c>
      <c r="D1043" s="5" t="s">
        <v>2107</v>
      </c>
      <c r="E1043" s="4" t="s">
        <v>2108</v>
      </c>
      <c r="F1043" s="3" t="s">
        <v>760</v>
      </c>
      <c r="G1043" s="4" t="s">
        <v>19</v>
      </c>
      <c r="H1043" s="4" t="s">
        <v>38</v>
      </c>
      <c r="I1043" s="4" t="s">
        <v>588</v>
      </c>
      <c r="J1043" s="6" t="s">
        <v>2045</v>
      </c>
      <c r="K1043" s="6" t="n">
        <v>2</v>
      </c>
      <c r="L1043" s="7" t="s">
        <v>2075</v>
      </c>
      <c r="M1043" s="6" t="n">
        <v>18</v>
      </c>
      <c r="N1043" s="7" t="s">
        <v>40</v>
      </c>
    </row>
    <row r="1044" customFormat="false" ht="29.85" hidden="false" customHeight="false" outlineLevel="0" collapsed="false">
      <c r="A1044" s="3" t="n">
        <v>1043</v>
      </c>
      <c r="B1044" s="4" t="s">
        <v>1792</v>
      </c>
      <c r="C1044" s="4" t="s">
        <v>2072</v>
      </c>
      <c r="D1044" s="5" t="s">
        <v>2109</v>
      </c>
      <c r="E1044" s="4" t="s">
        <v>2077</v>
      </c>
      <c r="F1044" s="3" t="s">
        <v>760</v>
      </c>
      <c r="G1044" s="4" t="s">
        <v>19</v>
      </c>
      <c r="H1044" s="4" t="s">
        <v>38</v>
      </c>
      <c r="I1044" s="4" t="s">
        <v>872</v>
      </c>
      <c r="J1044" s="6" t="s">
        <v>2045</v>
      </c>
      <c r="K1044" s="6" t="n">
        <v>2</v>
      </c>
      <c r="L1044" s="7" t="s">
        <v>2075</v>
      </c>
      <c r="M1044" s="6" t="n">
        <v>19</v>
      </c>
      <c r="N1044" s="7" t="s">
        <v>40</v>
      </c>
    </row>
    <row r="1045" customFormat="false" ht="15" hidden="false" customHeight="false" outlineLevel="0" collapsed="false">
      <c r="A1045" s="3" t="n">
        <v>1044</v>
      </c>
      <c r="B1045" s="4" t="s">
        <v>1792</v>
      </c>
      <c r="C1045" s="4" t="s">
        <v>2072</v>
      </c>
      <c r="D1045" s="5" t="s">
        <v>2110</v>
      </c>
      <c r="E1045" s="4" t="s">
        <v>2111</v>
      </c>
      <c r="F1045" s="3" t="s">
        <v>760</v>
      </c>
      <c r="G1045" s="4" t="s">
        <v>19</v>
      </c>
      <c r="H1045" s="4" t="s">
        <v>38</v>
      </c>
      <c r="I1045" s="4" t="s">
        <v>872</v>
      </c>
      <c r="J1045" s="6" t="s">
        <v>2045</v>
      </c>
      <c r="K1045" s="6" t="n">
        <v>2</v>
      </c>
      <c r="L1045" s="7" t="s">
        <v>2075</v>
      </c>
      <c r="M1045" s="6" t="n">
        <v>20</v>
      </c>
      <c r="N1045" s="7" t="s">
        <v>40</v>
      </c>
    </row>
    <row r="1046" customFormat="false" ht="15" hidden="false" customHeight="false" outlineLevel="0" collapsed="false">
      <c r="A1046" s="3" t="n">
        <v>1045</v>
      </c>
      <c r="B1046" s="4" t="s">
        <v>1792</v>
      </c>
      <c r="C1046" s="4" t="s">
        <v>2072</v>
      </c>
      <c r="D1046" s="11" t="s">
        <v>2112</v>
      </c>
      <c r="E1046" s="4" t="s">
        <v>2113</v>
      </c>
      <c r="F1046" s="3" t="s">
        <v>760</v>
      </c>
      <c r="G1046" s="4" t="s">
        <v>19</v>
      </c>
      <c r="H1046" s="4" t="s">
        <v>38</v>
      </c>
      <c r="I1046" s="4" t="s">
        <v>369</v>
      </c>
      <c r="J1046" s="6" t="s">
        <v>2045</v>
      </c>
      <c r="K1046" s="6" t="n">
        <v>2</v>
      </c>
      <c r="L1046" s="7" t="s">
        <v>2075</v>
      </c>
      <c r="M1046" s="6" t="n">
        <v>21</v>
      </c>
      <c r="N1046" s="7" t="s">
        <v>40</v>
      </c>
    </row>
    <row r="1047" customFormat="false" ht="29.85" hidden="false" customHeight="false" outlineLevel="0" collapsed="false">
      <c r="A1047" s="6" t="n">
        <v>1046</v>
      </c>
      <c r="B1047" s="7" t="s">
        <v>1792</v>
      </c>
      <c r="C1047" s="7" t="s">
        <v>2072</v>
      </c>
      <c r="D1047" s="8" t="s">
        <v>2114</v>
      </c>
      <c r="E1047" s="7" t="s">
        <v>2115</v>
      </c>
      <c r="F1047" s="6" t="s">
        <v>476</v>
      </c>
      <c r="G1047" s="7" t="s">
        <v>43</v>
      </c>
      <c r="H1047" s="7" t="s">
        <v>38</v>
      </c>
      <c r="I1047" s="7" t="s">
        <v>623</v>
      </c>
      <c r="J1047" s="6" t="s">
        <v>2045</v>
      </c>
      <c r="K1047" s="6" t="n">
        <v>2</v>
      </c>
      <c r="L1047" s="7" t="s">
        <v>2075</v>
      </c>
      <c r="M1047" s="6" t="n">
        <v>22</v>
      </c>
      <c r="N1047" s="7" t="s">
        <v>40</v>
      </c>
    </row>
    <row r="1048" customFormat="false" ht="29.85" hidden="false" customHeight="false" outlineLevel="0" collapsed="false">
      <c r="A1048" s="3" t="n">
        <v>1047</v>
      </c>
      <c r="B1048" s="4" t="s">
        <v>1792</v>
      </c>
      <c r="C1048" s="4" t="s">
        <v>2072</v>
      </c>
      <c r="D1048" s="5" t="s">
        <v>2116</v>
      </c>
      <c r="E1048" s="4" t="s">
        <v>2117</v>
      </c>
      <c r="F1048" s="3" t="s">
        <v>760</v>
      </c>
      <c r="G1048" s="4" t="s">
        <v>19</v>
      </c>
      <c r="H1048" s="4" t="s">
        <v>38</v>
      </c>
      <c r="I1048" s="4" t="s">
        <v>676</v>
      </c>
      <c r="J1048" s="6" t="s">
        <v>2045</v>
      </c>
      <c r="K1048" s="6" t="n">
        <v>2</v>
      </c>
      <c r="L1048" s="7" t="s">
        <v>2075</v>
      </c>
      <c r="M1048" s="6" t="n">
        <v>23</v>
      </c>
      <c r="N1048" s="7" t="s">
        <v>40</v>
      </c>
    </row>
    <row r="1049" customFormat="false" ht="29.85" hidden="false" customHeight="false" outlineLevel="0" collapsed="false">
      <c r="A1049" s="3" t="n">
        <v>1048</v>
      </c>
      <c r="B1049" s="4" t="s">
        <v>1792</v>
      </c>
      <c r="C1049" s="4" t="s">
        <v>2072</v>
      </c>
      <c r="D1049" s="5" t="s">
        <v>2118</v>
      </c>
      <c r="E1049" s="4" t="s">
        <v>2119</v>
      </c>
      <c r="F1049" s="3" t="s">
        <v>760</v>
      </c>
      <c r="G1049" s="4" t="s">
        <v>19</v>
      </c>
      <c r="H1049" s="4" t="s">
        <v>38</v>
      </c>
      <c r="I1049" s="4" t="s">
        <v>1043</v>
      </c>
      <c r="J1049" s="6" t="s">
        <v>2045</v>
      </c>
      <c r="K1049" s="6" t="n">
        <v>2</v>
      </c>
      <c r="L1049" s="7" t="s">
        <v>2075</v>
      </c>
      <c r="M1049" s="6" t="n">
        <v>24</v>
      </c>
      <c r="N1049" s="7" t="s">
        <v>40</v>
      </c>
    </row>
    <row r="1050" customFormat="false" ht="29.85" hidden="false" customHeight="false" outlineLevel="0" collapsed="false">
      <c r="A1050" s="3" t="n">
        <v>1049</v>
      </c>
      <c r="B1050" s="4" t="s">
        <v>1792</v>
      </c>
      <c r="C1050" s="4" t="s">
        <v>2072</v>
      </c>
      <c r="D1050" s="5" t="s">
        <v>2120</v>
      </c>
      <c r="E1050" s="4" t="s">
        <v>2121</v>
      </c>
      <c r="F1050" s="3" t="s">
        <v>760</v>
      </c>
      <c r="G1050" s="4" t="s">
        <v>19</v>
      </c>
      <c r="H1050" s="4" t="s">
        <v>38</v>
      </c>
      <c r="I1050" s="4" t="s">
        <v>1412</v>
      </c>
      <c r="J1050" s="6" t="s">
        <v>2045</v>
      </c>
      <c r="K1050" s="6" t="n">
        <v>2</v>
      </c>
      <c r="L1050" s="7" t="s">
        <v>2075</v>
      </c>
      <c r="M1050" s="6" t="n">
        <v>25</v>
      </c>
      <c r="N1050" s="7" t="s">
        <v>40</v>
      </c>
    </row>
    <row r="1051" customFormat="false" ht="29.85" hidden="false" customHeight="false" outlineLevel="0" collapsed="false">
      <c r="A1051" s="3" t="n">
        <v>1050</v>
      </c>
      <c r="B1051" s="4" t="s">
        <v>1792</v>
      </c>
      <c r="C1051" s="4" t="s">
        <v>2072</v>
      </c>
      <c r="D1051" s="5" t="s">
        <v>2122</v>
      </c>
      <c r="E1051" s="4" t="s">
        <v>2123</v>
      </c>
      <c r="F1051" s="3" t="s">
        <v>760</v>
      </c>
      <c r="G1051" s="4" t="s">
        <v>19</v>
      </c>
      <c r="H1051" s="4" t="s">
        <v>38</v>
      </c>
      <c r="I1051" s="4" t="s">
        <v>421</v>
      </c>
      <c r="J1051" s="6" t="s">
        <v>2045</v>
      </c>
      <c r="K1051" s="6" t="n">
        <v>2</v>
      </c>
      <c r="L1051" s="7" t="s">
        <v>2075</v>
      </c>
      <c r="M1051" s="6" t="n">
        <v>26</v>
      </c>
      <c r="N1051" s="7" t="s">
        <v>40</v>
      </c>
    </row>
    <row r="1052" customFormat="false" ht="29.85" hidden="false" customHeight="false" outlineLevel="0" collapsed="false">
      <c r="A1052" s="3" t="n">
        <v>1051</v>
      </c>
      <c r="B1052" s="4" t="s">
        <v>1792</v>
      </c>
      <c r="C1052" s="4" t="s">
        <v>2072</v>
      </c>
      <c r="D1052" s="11" t="s">
        <v>2124</v>
      </c>
      <c r="E1052" s="4" t="s">
        <v>2125</v>
      </c>
      <c r="F1052" s="3" t="s">
        <v>760</v>
      </c>
      <c r="G1052" s="4" t="s">
        <v>19</v>
      </c>
      <c r="H1052" s="4" t="s">
        <v>38</v>
      </c>
      <c r="I1052" s="4" t="s">
        <v>973</v>
      </c>
      <c r="J1052" s="6" t="s">
        <v>2045</v>
      </c>
      <c r="K1052" s="6" t="n">
        <v>2</v>
      </c>
      <c r="L1052" s="7" t="s">
        <v>2075</v>
      </c>
      <c r="M1052" s="6" t="n">
        <v>27</v>
      </c>
      <c r="N1052" s="7" t="s">
        <v>40</v>
      </c>
    </row>
    <row r="1053" customFormat="false" ht="29.85" hidden="false" customHeight="false" outlineLevel="0" collapsed="false">
      <c r="A1053" s="3" t="n">
        <v>1052</v>
      </c>
      <c r="B1053" s="4" t="s">
        <v>1792</v>
      </c>
      <c r="C1053" s="4" t="s">
        <v>2072</v>
      </c>
      <c r="D1053" s="11" t="s">
        <v>2126</v>
      </c>
      <c r="E1053" s="4" t="s">
        <v>2125</v>
      </c>
      <c r="F1053" s="3" t="s">
        <v>760</v>
      </c>
      <c r="G1053" s="4" t="s">
        <v>19</v>
      </c>
      <c r="H1053" s="4" t="s">
        <v>38</v>
      </c>
      <c r="I1053" s="4" t="s">
        <v>973</v>
      </c>
      <c r="J1053" s="6" t="s">
        <v>2045</v>
      </c>
      <c r="K1053" s="6" t="n">
        <v>2</v>
      </c>
      <c r="L1053" s="7" t="s">
        <v>2075</v>
      </c>
      <c r="M1053" s="6" t="n">
        <v>28</v>
      </c>
      <c r="N1053" s="7" t="s">
        <v>40</v>
      </c>
    </row>
    <row r="1054" customFormat="false" ht="29.85" hidden="false" customHeight="false" outlineLevel="0" collapsed="false">
      <c r="A1054" s="3" t="n">
        <v>1053</v>
      </c>
      <c r="B1054" s="4" t="s">
        <v>1792</v>
      </c>
      <c r="C1054" s="4" t="s">
        <v>2072</v>
      </c>
      <c r="D1054" s="11" t="s">
        <v>2127</v>
      </c>
      <c r="E1054" s="4" t="s">
        <v>2128</v>
      </c>
      <c r="F1054" s="3" t="s">
        <v>760</v>
      </c>
      <c r="G1054" s="4" t="s">
        <v>19</v>
      </c>
      <c r="H1054" s="4" t="s">
        <v>38</v>
      </c>
      <c r="I1054" s="4" t="s">
        <v>2129</v>
      </c>
      <c r="J1054" s="6" t="s">
        <v>2045</v>
      </c>
      <c r="K1054" s="6" t="n">
        <v>2</v>
      </c>
      <c r="L1054" s="7" t="s">
        <v>2075</v>
      </c>
      <c r="M1054" s="6" t="n">
        <v>29</v>
      </c>
      <c r="N1054" s="7" t="s">
        <v>40</v>
      </c>
    </row>
    <row r="1055" customFormat="false" ht="29.85" hidden="false" customHeight="false" outlineLevel="0" collapsed="false">
      <c r="A1055" s="3" t="n">
        <v>1054</v>
      </c>
      <c r="B1055" s="4" t="s">
        <v>1792</v>
      </c>
      <c r="C1055" s="4" t="s">
        <v>2072</v>
      </c>
      <c r="D1055" s="5" t="s">
        <v>2130</v>
      </c>
      <c r="E1055" s="4" t="s">
        <v>2123</v>
      </c>
      <c r="F1055" s="3" t="s">
        <v>760</v>
      </c>
      <c r="G1055" s="4" t="s">
        <v>19</v>
      </c>
      <c r="H1055" s="4" t="s">
        <v>38</v>
      </c>
      <c r="I1055" s="4" t="s">
        <v>1011</v>
      </c>
      <c r="J1055" s="6" t="s">
        <v>2045</v>
      </c>
      <c r="K1055" s="6" t="n">
        <v>2</v>
      </c>
      <c r="L1055" s="7" t="s">
        <v>2075</v>
      </c>
      <c r="M1055" s="6" t="n">
        <v>30</v>
      </c>
      <c r="N1055" s="7" t="s">
        <v>40</v>
      </c>
    </row>
    <row r="1056" customFormat="false" ht="15" hidden="false" customHeight="false" outlineLevel="0" collapsed="false">
      <c r="A1056" s="6" t="n">
        <v>1055</v>
      </c>
      <c r="B1056" s="7" t="s">
        <v>522</v>
      </c>
      <c r="C1056" s="7" t="s">
        <v>2131</v>
      </c>
      <c r="D1056" s="8" t="s">
        <v>2132</v>
      </c>
      <c r="E1056" s="7" t="s">
        <v>2133</v>
      </c>
      <c r="F1056" s="6" t="s">
        <v>760</v>
      </c>
      <c r="G1056" s="7" t="s">
        <v>27</v>
      </c>
      <c r="H1056" s="7" t="s">
        <v>20</v>
      </c>
      <c r="I1056" s="7" t="s">
        <v>21</v>
      </c>
      <c r="J1056" s="6" t="s">
        <v>2045</v>
      </c>
      <c r="K1056" s="6" t="n">
        <v>3</v>
      </c>
      <c r="L1056" s="7" t="s">
        <v>2134</v>
      </c>
      <c r="M1056" s="6" t="n">
        <v>1</v>
      </c>
      <c r="N1056" s="7" t="s">
        <v>24</v>
      </c>
    </row>
    <row r="1057" customFormat="false" ht="15" hidden="false" customHeight="false" outlineLevel="0" collapsed="false">
      <c r="A1057" s="6" t="n">
        <v>1056</v>
      </c>
      <c r="B1057" s="7" t="s">
        <v>522</v>
      </c>
      <c r="C1057" s="7" t="s">
        <v>2131</v>
      </c>
      <c r="D1057" s="8" t="s">
        <v>2135</v>
      </c>
      <c r="E1057" s="7" t="s">
        <v>2136</v>
      </c>
      <c r="F1057" s="6" t="s">
        <v>760</v>
      </c>
      <c r="G1057" s="7" t="s">
        <v>27</v>
      </c>
      <c r="H1057" s="7" t="s">
        <v>20</v>
      </c>
      <c r="I1057" s="7" t="s">
        <v>21</v>
      </c>
      <c r="J1057" s="6" t="s">
        <v>2045</v>
      </c>
      <c r="K1057" s="6" t="n">
        <v>3</v>
      </c>
      <c r="L1057" s="7" t="s">
        <v>2134</v>
      </c>
      <c r="M1057" s="6" t="n">
        <v>2</v>
      </c>
      <c r="N1057" s="7" t="s">
        <v>24</v>
      </c>
    </row>
    <row r="1058" customFormat="false" ht="15" hidden="false" customHeight="false" outlineLevel="0" collapsed="false">
      <c r="A1058" s="6" t="n">
        <v>1057</v>
      </c>
      <c r="B1058" s="7" t="s">
        <v>522</v>
      </c>
      <c r="C1058" s="7" t="s">
        <v>2131</v>
      </c>
      <c r="D1058" s="8" t="s">
        <v>2137</v>
      </c>
      <c r="E1058" s="7" t="s">
        <v>2138</v>
      </c>
      <c r="F1058" s="6" t="s">
        <v>760</v>
      </c>
      <c r="G1058" s="7" t="s">
        <v>27</v>
      </c>
      <c r="H1058" s="7" t="s">
        <v>20</v>
      </c>
      <c r="I1058" s="7" t="s">
        <v>540</v>
      </c>
      <c r="J1058" s="6" t="s">
        <v>2045</v>
      </c>
      <c r="K1058" s="6" t="n">
        <v>3</v>
      </c>
      <c r="L1058" s="7" t="s">
        <v>2134</v>
      </c>
      <c r="M1058" s="6" t="n">
        <v>3</v>
      </c>
      <c r="N1058" s="7" t="s">
        <v>24</v>
      </c>
    </row>
    <row r="1059" customFormat="false" ht="15" hidden="false" customHeight="false" outlineLevel="0" collapsed="false">
      <c r="A1059" s="6" t="n">
        <v>1058</v>
      </c>
      <c r="B1059" s="7" t="s">
        <v>522</v>
      </c>
      <c r="C1059" s="7" t="s">
        <v>2131</v>
      </c>
      <c r="D1059" s="8" t="s">
        <v>2139</v>
      </c>
      <c r="E1059" s="7" t="s">
        <v>2140</v>
      </c>
      <c r="F1059" s="6" t="s">
        <v>760</v>
      </c>
      <c r="G1059" s="7" t="s">
        <v>27</v>
      </c>
      <c r="H1059" s="7" t="s">
        <v>20</v>
      </c>
      <c r="I1059" s="7" t="s">
        <v>595</v>
      </c>
      <c r="J1059" s="6" t="s">
        <v>2045</v>
      </c>
      <c r="K1059" s="6" t="n">
        <v>3</v>
      </c>
      <c r="L1059" s="7" t="s">
        <v>2134</v>
      </c>
      <c r="M1059" s="6" t="n">
        <v>4</v>
      </c>
      <c r="N1059" s="7" t="s">
        <v>24</v>
      </c>
    </row>
    <row r="1060" customFormat="false" ht="15" hidden="false" customHeight="false" outlineLevel="0" collapsed="false">
      <c r="A1060" s="6" t="n">
        <v>1059</v>
      </c>
      <c r="B1060" s="7" t="s">
        <v>522</v>
      </c>
      <c r="C1060" s="7" t="s">
        <v>2131</v>
      </c>
      <c r="D1060" s="8" t="s">
        <v>2141</v>
      </c>
      <c r="E1060" s="7" t="s">
        <v>2142</v>
      </c>
      <c r="F1060" s="6" t="s">
        <v>82</v>
      </c>
      <c r="G1060" s="7" t="s">
        <v>27</v>
      </c>
      <c r="H1060" s="7" t="s">
        <v>38</v>
      </c>
      <c r="I1060" s="7" t="s">
        <v>206</v>
      </c>
      <c r="J1060" s="6" t="s">
        <v>2045</v>
      </c>
      <c r="K1060" s="6" t="n">
        <v>3</v>
      </c>
      <c r="L1060" s="7" t="s">
        <v>2134</v>
      </c>
      <c r="M1060" s="6" t="n">
        <v>5</v>
      </c>
      <c r="N1060" s="7" t="s">
        <v>40</v>
      </c>
    </row>
    <row r="1061" customFormat="false" ht="15" hidden="false" customHeight="false" outlineLevel="0" collapsed="false">
      <c r="A1061" s="6" t="n">
        <v>1060</v>
      </c>
      <c r="B1061" s="7" t="s">
        <v>522</v>
      </c>
      <c r="C1061" s="7" t="s">
        <v>2131</v>
      </c>
      <c r="D1061" s="8" t="s">
        <v>2143</v>
      </c>
      <c r="E1061" s="7" t="s">
        <v>2138</v>
      </c>
      <c r="F1061" s="6" t="s">
        <v>760</v>
      </c>
      <c r="G1061" s="7" t="s">
        <v>27</v>
      </c>
      <c r="H1061" s="7" t="s">
        <v>20</v>
      </c>
      <c r="I1061" s="7" t="s">
        <v>183</v>
      </c>
      <c r="J1061" s="6" t="s">
        <v>2045</v>
      </c>
      <c r="K1061" s="6" t="n">
        <v>3</v>
      </c>
      <c r="L1061" s="7" t="s">
        <v>2134</v>
      </c>
      <c r="M1061" s="6" t="n">
        <v>6</v>
      </c>
      <c r="N1061" s="7" t="s">
        <v>24</v>
      </c>
    </row>
    <row r="1062" customFormat="false" ht="15" hidden="false" customHeight="false" outlineLevel="0" collapsed="false">
      <c r="A1062" s="6" t="n">
        <v>1061</v>
      </c>
      <c r="B1062" s="7" t="s">
        <v>522</v>
      </c>
      <c r="C1062" s="7" t="s">
        <v>2131</v>
      </c>
      <c r="D1062" s="8" t="s">
        <v>2144</v>
      </c>
      <c r="E1062" s="7" t="s">
        <v>2145</v>
      </c>
      <c r="F1062" s="6" t="s">
        <v>760</v>
      </c>
      <c r="G1062" s="7" t="s">
        <v>43</v>
      </c>
      <c r="H1062" s="7" t="s">
        <v>20</v>
      </c>
      <c r="I1062" s="7" t="s">
        <v>46</v>
      </c>
      <c r="J1062" s="6" t="s">
        <v>2045</v>
      </c>
      <c r="K1062" s="6" t="n">
        <v>3</v>
      </c>
      <c r="L1062" s="7" t="s">
        <v>2134</v>
      </c>
      <c r="M1062" s="6" t="n">
        <v>7</v>
      </c>
      <c r="N1062" s="7" t="s">
        <v>24</v>
      </c>
    </row>
    <row r="1063" customFormat="false" ht="29.85" hidden="false" customHeight="false" outlineLevel="0" collapsed="false">
      <c r="A1063" s="6" t="n">
        <v>1062</v>
      </c>
      <c r="B1063" s="7" t="s">
        <v>522</v>
      </c>
      <c r="C1063" s="7" t="s">
        <v>2131</v>
      </c>
      <c r="D1063" s="8" t="s">
        <v>2146</v>
      </c>
      <c r="E1063" s="7" t="s">
        <v>2147</v>
      </c>
      <c r="F1063" s="6" t="s">
        <v>760</v>
      </c>
      <c r="G1063" s="7" t="s">
        <v>27</v>
      </c>
      <c r="H1063" s="7" t="s">
        <v>20</v>
      </c>
      <c r="I1063" s="7" t="s">
        <v>192</v>
      </c>
      <c r="J1063" s="6" t="s">
        <v>2045</v>
      </c>
      <c r="K1063" s="6" t="n">
        <v>3</v>
      </c>
      <c r="L1063" s="7" t="s">
        <v>2134</v>
      </c>
      <c r="M1063" s="6" t="n">
        <v>8</v>
      </c>
      <c r="N1063" s="7" t="s">
        <v>24</v>
      </c>
    </row>
    <row r="1064" customFormat="false" ht="29.85" hidden="false" customHeight="false" outlineLevel="0" collapsed="false">
      <c r="A1064" s="6" t="n">
        <v>1063</v>
      </c>
      <c r="B1064" s="7" t="s">
        <v>522</v>
      </c>
      <c r="C1064" s="7" t="s">
        <v>2131</v>
      </c>
      <c r="D1064" s="8" t="s">
        <v>2148</v>
      </c>
      <c r="E1064" s="7" t="s">
        <v>2149</v>
      </c>
      <c r="F1064" s="6" t="s">
        <v>760</v>
      </c>
      <c r="G1064" s="7" t="s">
        <v>27</v>
      </c>
      <c r="H1064" s="7" t="s">
        <v>20</v>
      </c>
      <c r="I1064" s="7" t="s">
        <v>88</v>
      </c>
      <c r="J1064" s="6" t="s">
        <v>2045</v>
      </c>
      <c r="K1064" s="6" t="n">
        <v>3</v>
      </c>
      <c r="L1064" s="7" t="s">
        <v>2134</v>
      </c>
      <c r="M1064" s="6" t="n">
        <v>9</v>
      </c>
      <c r="N1064" s="7" t="s">
        <v>24</v>
      </c>
    </row>
    <row r="1065" customFormat="false" ht="15" hidden="false" customHeight="false" outlineLevel="0" collapsed="false">
      <c r="A1065" s="6" t="n">
        <v>1064</v>
      </c>
      <c r="B1065" s="7" t="s">
        <v>522</v>
      </c>
      <c r="C1065" s="7" t="s">
        <v>2131</v>
      </c>
      <c r="D1065" s="8" t="s">
        <v>2150</v>
      </c>
      <c r="E1065" s="7" t="s">
        <v>2151</v>
      </c>
      <c r="F1065" s="6" t="s">
        <v>82</v>
      </c>
      <c r="G1065" s="7" t="s">
        <v>27</v>
      </c>
      <c r="H1065" s="7" t="s">
        <v>38</v>
      </c>
      <c r="I1065" s="7" t="s">
        <v>206</v>
      </c>
      <c r="J1065" s="6" t="s">
        <v>2045</v>
      </c>
      <c r="K1065" s="6" t="n">
        <v>3</v>
      </c>
      <c r="L1065" s="7" t="s">
        <v>2134</v>
      </c>
      <c r="M1065" s="6" t="n">
        <v>10</v>
      </c>
      <c r="N1065" s="7" t="s">
        <v>40</v>
      </c>
    </row>
    <row r="1066" customFormat="false" ht="29.85" hidden="false" customHeight="false" outlineLevel="0" collapsed="false">
      <c r="A1066" s="6" t="n">
        <v>1065</v>
      </c>
      <c r="B1066" s="7" t="s">
        <v>522</v>
      </c>
      <c r="C1066" s="7" t="s">
        <v>2131</v>
      </c>
      <c r="D1066" s="8" t="s">
        <v>2152</v>
      </c>
      <c r="E1066" s="7" t="s">
        <v>2153</v>
      </c>
      <c r="F1066" s="6" t="s">
        <v>760</v>
      </c>
      <c r="G1066" s="7" t="s">
        <v>43</v>
      </c>
      <c r="H1066" s="7" t="s">
        <v>20</v>
      </c>
      <c r="I1066" s="7" t="s">
        <v>88</v>
      </c>
      <c r="J1066" s="6" t="s">
        <v>2045</v>
      </c>
      <c r="K1066" s="6" t="n">
        <v>3</v>
      </c>
      <c r="L1066" s="7" t="s">
        <v>2134</v>
      </c>
      <c r="M1066" s="6" t="n">
        <v>11</v>
      </c>
      <c r="N1066" s="7" t="s">
        <v>24</v>
      </c>
    </row>
    <row r="1067" customFormat="false" ht="29.85" hidden="false" customHeight="false" outlineLevel="0" collapsed="false">
      <c r="A1067" s="6" t="n">
        <v>1066</v>
      </c>
      <c r="B1067" s="7" t="s">
        <v>522</v>
      </c>
      <c r="C1067" s="7" t="s">
        <v>2131</v>
      </c>
      <c r="D1067" s="8" t="s">
        <v>2154</v>
      </c>
      <c r="E1067" s="7" t="s">
        <v>2155</v>
      </c>
      <c r="F1067" s="6" t="s">
        <v>760</v>
      </c>
      <c r="G1067" s="7" t="s">
        <v>27</v>
      </c>
      <c r="H1067" s="7" t="s">
        <v>20</v>
      </c>
      <c r="I1067" s="7" t="s">
        <v>88</v>
      </c>
      <c r="J1067" s="6" t="s">
        <v>2045</v>
      </c>
      <c r="K1067" s="6" t="n">
        <v>3</v>
      </c>
      <c r="L1067" s="7" t="s">
        <v>2134</v>
      </c>
      <c r="M1067" s="6" t="n">
        <v>12</v>
      </c>
      <c r="N1067" s="7" t="s">
        <v>24</v>
      </c>
    </row>
    <row r="1068" customFormat="false" ht="29.85" hidden="false" customHeight="false" outlineLevel="0" collapsed="false">
      <c r="A1068" s="6" t="n">
        <v>1067</v>
      </c>
      <c r="B1068" s="7" t="s">
        <v>522</v>
      </c>
      <c r="C1068" s="7" t="s">
        <v>2131</v>
      </c>
      <c r="D1068" s="8" t="s">
        <v>2156</v>
      </c>
      <c r="E1068" s="7" t="s">
        <v>2157</v>
      </c>
      <c r="F1068" s="6" t="s">
        <v>760</v>
      </c>
      <c r="G1068" s="7" t="s">
        <v>43</v>
      </c>
      <c r="H1068" s="7" t="s">
        <v>20</v>
      </c>
      <c r="I1068" s="7" t="s">
        <v>88</v>
      </c>
      <c r="J1068" s="6" t="s">
        <v>2045</v>
      </c>
      <c r="K1068" s="6" t="n">
        <v>3</v>
      </c>
      <c r="L1068" s="7" t="s">
        <v>2134</v>
      </c>
      <c r="M1068" s="6" t="n">
        <v>13</v>
      </c>
      <c r="N1068" s="7" t="s">
        <v>24</v>
      </c>
    </row>
    <row r="1069" customFormat="false" ht="29.85" hidden="false" customHeight="false" outlineLevel="0" collapsed="false">
      <c r="A1069" s="6" t="n">
        <v>1068</v>
      </c>
      <c r="B1069" s="7" t="s">
        <v>522</v>
      </c>
      <c r="C1069" s="7" t="s">
        <v>2131</v>
      </c>
      <c r="D1069" s="8" t="s">
        <v>2158</v>
      </c>
      <c r="E1069" s="7" t="s">
        <v>2159</v>
      </c>
      <c r="F1069" s="6" t="s">
        <v>760</v>
      </c>
      <c r="G1069" s="7" t="s">
        <v>27</v>
      </c>
      <c r="H1069" s="7" t="s">
        <v>20</v>
      </c>
      <c r="I1069" s="7" t="s">
        <v>457</v>
      </c>
      <c r="J1069" s="6" t="s">
        <v>2045</v>
      </c>
      <c r="K1069" s="6" t="n">
        <v>3</v>
      </c>
      <c r="L1069" s="7" t="s">
        <v>2134</v>
      </c>
      <c r="M1069" s="6" t="n">
        <v>14</v>
      </c>
      <c r="N1069" s="7" t="s">
        <v>24</v>
      </c>
    </row>
    <row r="1070" customFormat="false" ht="29.85" hidden="false" customHeight="false" outlineLevel="0" collapsed="false">
      <c r="A1070" s="6" t="n">
        <v>1069</v>
      </c>
      <c r="B1070" s="7" t="s">
        <v>522</v>
      </c>
      <c r="C1070" s="7" t="s">
        <v>2131</v>
      </c>
      <c r="D1070" s="8" t="s">
        <v>2160</v>
      </c>
      <c r="E1070" s="7" t="s">
        <v>2161</v>
      </c>
      <c r="F1070" s="6" t="s">
        <v>760</v>
      </c>
      <c r="G1070" s="7" t="s">
        <v>43</v>
      </c>
      <c r="H1070" s="7" t="s">
        <v>38</v>
      </c>
      <c r="I1070" s="7" t="s">
        <v>637</v>
      </c>
      <c r="J1070" s="6" t="s">
        <v>2045</v>
      </c>
      <c r="K1070" s="6" t="n">
        <v>3</v>
      </c>
      <c r="L1070" s="7" t="s">
        <v>2134</v>
      </c>
      <c r="M1070" s="6" t="n">
        <v>15</v>
      </c>
      <c r="N1070" s="7" t="s">
        <v>40</v>
      </c>
    </row>
    <row r="1071" customFormat="false" ht="29.85" hidden="false" customHeight="false" outlineLevel="0" collapsed="false">
      <c r="A1071" s="6" t="n">
        <v>1070</v>
      </c>
      <c r="B1071" s="7" t="s">
        <v>522</v>
      </c>
      <c r="C1071" s="7" t="s">
        <v>2131</v>
      </c>
      <c r="D1071" s="8" t="s">
        <v>2162</v>
      </c>
      <c r="E1071" s="7" t="s">
        <v>2163</v>
      </c>
      <c r="F1071" s="6" t="s">
        <v>760</v>
      </c>
      <c r="G1071" s="7" t="s">
        <v>27</v>
      </c>
      <c r="H1071" s="7" t="s">
        <v>20</v>
      </c>
      <c r="I1071" s="7" t="s">
        <v>457</v>
      </c>
      <c r="J1071" s="6" t="s">
        <v>2045</v>
      </c>
      <c r="K1071" s="6" t="n">
        <v>3</v>
      </c>
      <c r="L1071" s="7" t="s">
        <v>2134</v>
      </c>
      <c r="M1071" s="6" t="n">
        <v>16</v>
      </c>
      <c r="N1071" s="7" t="s">
        <v>24</v>
      </c>
    </row>
    <row r="1072" customFormat="false" ht="29.85" hidden="false" customHeight="false" outlineLevel="0" collapsed="false">
      <c r="A1072" s="6" t="n">
        <v>1071</v>
      </c>
      <c r="B1072" s="7" t="s">
        <v>522</v>
      </c>
      <c r="C1072" s="7" t="s">
        <v>2131</v>
      </c>
      <c r="D1072" s="8" t="s">
        <v>2164</v>
      </c>
      <c r="E1072" s="7" t="s">
        <v>2165</v>
      </c>
      <c r="F1072" s="6" t="s">
        <v>760</v>
      </c>
      <c r="G1072" s="7" t="s">
        <v>43</v>
      </c>
      <c r="H1072" s="7" t="s">
        <v>20</v>
      </c>
      <c r="I1072" s="7" t="s">
        <v>457</v>
      </c>
      <c r="J1072" s="6" t="s">
        <v>2045</v>
      </c>
      <c r="K1072" s="6" t="n">
        <v>3</v>
      </c>
      <c r="L1072" s="7" t="s">
        <v>2134</v>
      </c>
      <c r="M1072" s="6" t="n">
        <v>17</v>
      </c>
      <c r="N1072" s="7" t="s">
        <v>24</v>
      </c>
    </row>
    <row r="1073" customFormat="false" ht="29.85" hidden="false" customHeight="false" outlineLevel="0" collapsed="false">
      <c r="A1073" s="6" t="n">
        <v>1072</v>
      </c>
      <c r="B1073" s="7" t="s">
        <v>522</v>
      </c>
      <c r="C1073" s="7" t="s">
        <v>2131</v>
      </c>
      <c r="D1073" s="8" t="s">
        <v>2166</v>
      </c>
      <c r="E1073" s="7" t="s">
        <v>2167</v>
      </c>
      <c r="F1073" s="6" t="s">
        <v>760</v>
      </c>
      <c r="G1073" s="7" t="s">
        <v>27</v>
      </c>
      <c r="H1073" s="7" t="s">
        <v>20</v>
      </c>
      <c r="I1073" s="7" t="s">
        <v>98</v>
      </c>
      <c r="J1073" s="6" t="s">
        <v>2045</v>
      </c>
      <c r="K1073" s="6" t="n">
        <v>3</v>
      </c>
      <c r="L1073" s="7" t="s">
        <v>2134</v>
      </c>
      <c r="M1073" s="6" t="n">
        <v>18</v>
      </c>
      <c r="N1073" s="7" t="s">
        <v>24</v>
      </c>
    </row>
    <row r="1074" customFormat="false" ht="29.85" hidden="false" customHeight="false" outlineLevel="0" collapsed="false">
      <c r="A1074" s="6" t="n">
        <v>1073</v>
      </c>
      <c r="B1074" s="7" t="s">
        <v>522</v>
      </c>
      <c r="C1074" s="7" t="s">
        <v>2131</v>
      </c>
      <c r="D1074" s="8" t="s">
        <v>2168</v>
      </c>
      <c r="E1074" s="7" t="s">
        <v>2169</v>
      </c>
      <c r="F1074" s="6" t="s">
        <v>760</v>
      </c>
      <c r="G1074" s="7" t="s">
        <v>43</v>
      </c>
      <c r="H1074" s="7" t="s">
        <v>20</v>
      </c>
      <c r="I1074" s="7" t="s">
        <v>112</v>
      </c>
      <c r="J1074" s="6" t="s">
        <v>2045</v>
      </c>
      <c r="K1074" s="6" t="n">
        <v>3</v>
      </c>
      <c r="L1074" s="7" t="s">
        <v>2134</v>
      </c>
      <c r="M1074" s="6" t="n">
        <v>19</v>
      </c>
      <c r="N1074" s="7" t="s">
        <v>24</v>
      </c>
    </row>
    <row r="1075" customFormat="false" ht="29.85" hidden="false" customHeight="false" outlineLevel="0" collapsed="false">
      <c r="A1075" s="6" t="n">
        <v>1074</v>
      </c>
      <c r="B1075" s="7" t="s">
        <v>522</v>
      </c>
      <c r="C1075" s="7" t="s">
        <v>2131</v>
      </c>
      <c r="D1075" s="8" t="s">
        <v>2170</v>
      </c>
      <c r="E1075" s="7" t="s">
        <v>2169</v>
      </c>
      <c r="F1075" s="6" t="s">
        <v>760</v>
      </c>
      <c r="G1075" s="7" t="s">
        <v>43</v>
      </c>
      <c r="H1075" s="7" t="s">
        <v>38</v>
      </c>
      <c r="I1075" s="7" t="s">
        <v>637</v>
      </c>
      <c r="J1075" s="6" t="s">
        <v>2045</v>
      </c>
      <c r="K1075" s="6" t="n">
        <v>3</v>
      </c>
      <c r="L1075" s="7" t="s">
        <v>2134</v>
      </c>
      <c r="M1075" s="6" t="n">
        <v>20</v>
      </c>
      <c r="N1075" s="7" t="s">
        <v>40</v>
      </c>
    </row>
    <row r="1076" customFormat="false" ht="29.85" hidden="false" customHeight="false" outlineLevel="0" collapsed="false">
      <c r="A1076" s="6" t="n">
        <v>1075</v>
      </c>
      <c r="B1076" s="7" t="s">
        <v>522</v>
      </c>
      <c r="C1076" s="7" t="s">
        <v>2131</v>
      </c>
      <c r="D1076" s="8" t="s">
        <v>2171</v>
      </c>
      <c r="E1076" s="7" t="s">
        <v>2172</v>
      </c>
      <c r="F1076" s="6" t="s">
        <v>760</v>
      </c>
      <c r="G1076" s="7" t="s">
        <v>27</v>
      </c>
      <c r="H1076" s="7" t="s">
        <v>20</v>
      </c>
      <c r="I1076" s="7" t="s">
        <v>51</v>
      </c>
      <c r="J1076" s="6" t="s">
        <v>2045</v>
      </c>
      <c r="K1076" s="6" t="n">
        <v>3</v>
      </c>
      <c r="L1076" s="7" t="s">
        <v>2134</v>
      </c>
      <c r="M1076" s="6" t="n">
        <v>21</v>
      </c>
      <c r="N1076" s="7" t="s">
        <v>24</v>
      </c>
    </row>
    <row r="1077" customFormat="false" ht="29.85" hidden="false" customHeight="false" outlineLevel="0" collapsed="false">
      <c r="A1077" s="6" t="n">
        <v>1076</v>
      </c>
      <c r="B1077" s="7" t="s">
        <v>522</v>
      </c>
      <c r="C1077" s="7" t="s">
        <v>2131</v>
      </c>
      <c r="D1077" s="9" t="s">
        <v>2173</v>
      </c>
      <c r="E1077" s="7" t="s">
        <v>2174</v>
      </c>
      <c r="F1077" s="6" t="s">
        <v>760</v>
      </c>
      <c r="G1077" s="7" t="s">
        <v>43</v>
      </c>
      <c r="H1077" s="7" t="s">
        <v>20</v>
      </c>
      <c r="I1077" s="7" t="s">
        <v>117</v>
      </c>
      <c r="J1077" s="6" t="s">
        <v>2045</v>
      </c>
      <c r="K1077" s="6" t="n">
        <v>3</v>
      </c>
      <c r="L1077" s="7" t="s">
        <v>2134</v>
      </c>
      <c r="M1077" s="6" t="n">
        <v>22</v>
      </c>
      <c r="N1077" s="7" t="s">
        <v>24</v>
      </c>
    </row>
    <row r="1078" customFormat="false" ht="29.85" hidden="false" customHeight="false" outlineLevel="0" collapsed="false">
      <c r="A1078" s="6" t="n">
        <v>1077</v>
      </c>
      <c r="B1078" s="7" t="s">
        <v>522</v>
      </c>
      <c r="C1078" s="7" t="s">
        <v>2131</v>
      </c>
      <c r="D1078" s="8" t="s">
        <v>2175</v>
      </c>
      <c r="E1078" s="7" t="s">
        <v>2176</v>
      </c>
      <c r="F1078" s="6" t="s">
        <v>760</v>
      </c>
      <c r="G1078" s="7" t="s">
        <v>43</v>
      </c>
      <c r="H1078" s="7" t="s">
        <v>20</v>
      </c>
      <c r="I1078" s="7" t="s">
        <v>117</v>
      </c>
      <c r="J1078" s="6" t="s">
        <v>2045</v>
      </c>
      <c r="K1078" s="6" t="n">
        <v>3</v>
      </c>
      <c r="L1078" s="7" t="s">
        <v>2134</v>
      </c>
      <c r="M1078" s="6" t="n">
        <v>23</v>
      </c>
      <c r="N1078" s="7" t="s">
        <v>24</v>
      </c>
    </row>
    <row r="1079" customFormat="false" ht="29.85" hidden="false" customHeight="false" outlineLevel="0" collapsed="false">
      <c r="A1079" s="6" t="n">
        <v>1078</v>
      </c>
      <c r="B1079" s="7" t="s">
        <v>522</v>
      </c>
      <c r="C1079" s="7" t="s">
        <v>2131</v>
      </c>
      <c r="D1079" s="8" t="s">
        <v>2177</v>
      </c>
      <c r="E1079" s="7" t="s">
        <v>2178</v>
      </c>
      <c r="F1079" s="6" t="s">
        <v>760</v>
      </c>
      <c r="G1079" s="7" t="s">
        <v>27</v>
      </c>
      <c r="H1079" s="7" t="s">
        <v>38</v>
      </c>
      <c r="I1079" s="7" t="s">
        <v>53</v>
      </c>
      <c r="J1079" s="6" t="s">
        <v>2045</v>
      </c>
      <c r="K1079" s="6" t="n">
        <v>3</v>
      </c>
      <c r="L1079" s="7" t="s">
        <v>2134</v>
      </c>
      <c r="M1079" s="6" t="n">
        <v>24</v>
      </c>
      <c r="N1079" s="7" t="s">
        <v>40</v>
      </c>
    </row>
    <row r="1080" customFormat="false" ht="29.85" hidden="false" customHeight="false" outlineLevel="0" collapsed="false">
      <c r="A1080" s="6" t="n">
        <v>1079</v>
      </c>
      <c r="B1080" s="7" t="s">
        <v>522</v>
      </c>
      <c r="C1080" s="7" t="s">
        <v>2131</v>
      </c>
      <c r="D1080" s="8" t="s">
        <v>2179</v>
      </c>
      <c r="E1080" s="7" t="s">
        <v>2149</v>
      </c>
      <c r="F1080" s="6" t="s">
        <v>760</v>
      </c>
      <c r="G1080" s="7" t="s">
        <v>27</v>
      </c>
      <c r="H1080" s="7" t="s">
        <v>38</v>
      </c>
      <c r="I1080" s="7" t="s">
        <v>53</v>
      </c>
      <c r="J1080" s="6" t="s">
        <v>2045</v>
      </c>
      <c r="K1080" s="6" t="n">
        <v>3</v>
      </c>
      <c r="L1080" s="7" t="s">
        <v>2134</v>
      </c>
      <c r="M1080" s="6" t="n">
        <v>25</v>
      </c>
      <c r="N1080" s="7" t="s">
        <v>40</v>
      </c>
    </row>
    <row r="1081" customFormat="false" ht="29.85" hidden="false" customHeight="false" outlineLevel="0" collapsed="false">
      <c r="A1081" s="6" t="n">
        <v>1080</v>
      </c>
      <c r="B1081" s="7" t="s">
        <v>522</v>
      </c>
      <c r="C1081" s="7" t="s">
        <v>2131</v>
      </c>
      <c r="D1081" s="8" t="s">
        <v>2180</v>
      </c>
      <c r="E1081" s="7" t="s">
        <v>2136</v>
      </c>
      <c r="F1081" s="6" t="s">
        <v>760</v>
      </c>
      <c r="G1081" s="7" t="s">
        <v>27</v>
      </c>
      <c r="H1081" s="7" t="s">
        <v>38</v>
      </c>
      <c r="I1081" s="7" t="s">
        <v>318</v>
      </c>
      <c r="J1081" s="6" t="s">
        <v>2045</v>
      </c>
      <c r="K1081" s="6" t="n">
        <v>3</v>
      </c>
      <c r="L1081" s="7" t="s">
        <v>2134</v>
      </c>
      <c r="M1081" s="6" t="n">
        <v>26</v>
      </c>
      <c r="N1081" s="7" t="s">
        <v>40</v>
      </c>
    </row>
    <row r="1082" customFormat="false" ht="29.85" hidden="false" customHeight="false" outlineLevel="0" collapsed="false">
      <c r="A1082" s="6" t="n">
        <v>1081</v>
      </c>
      <c r="B1082" s="7" t="s">
        <v>522</v>
      </c>
      <c r="C1082" s="7" t="s">
        <v>2131</v>
      </c>
      <c r="D1082" s="8" t="s">
        <v>2181</v>
      </c>
      <c r="E1082" s="7" t="s">
        <v>2182</v>
      </c>
      <c r="F1082" s="6" t="s">
        <v>760</v>
      </c>
      <c r="G1082" s="7" t="s">
        <v>43</v>
      </c>
      <c r="H1082" s="7" t="s">
        <v>38</v>
      </c>
      <c r="I1082" s="7" t="s">
        <v>640</v>
      </c>
      <c r="J1082" s="6" t="s">
        <v>2045</v>
      </c>
      <c r="K1082" s="6" t="n">
        <v>3</v>
      </c>
      <c r="L1082" s="7" t="s">
        <v>2134</v>
      </c>
      <c r="M1082" s="6" t="n">
        <v>27</v>
      </c>
      <c r="N1082" s="7" t="s">
        <v>40</v>
      </c>
    </row>
    <row r="1083" customFormat="false" ht="29.85" hidden="false" customHeight="false" outlineLevel="0" collapsed="false">
      <c r="A1083" s="6" t="n">
        <v>1082</v>
      </c>
      <c r="B1083" s="7" t="s">
        <v>522</v>
      </c>
      <c r="C1083" s="7" t="s">
        <v>2131</v>
      </c>
      <c r="D1083" s="8" t="s">
        <v>2183</v>
      </c>
      <c r="E1083" s="7" t="s">
        <v>2184</v>
      </c>
      <c r="F1083" s="6" t="s">
        <v>760</v>
      </c>
      <c r="G1083" s="7" t="s">
        <v>43</v>
      </c>
      <c r="H1083" s="7" t="s">
        <v>38</v>
      </c>
      <c r="I1083" s="7" t="s">
        <v>1223</v>
      </c>
      <c r="J1083" s="6" t="s">
        <v>2045</v>
      </c>
      <c r="K1083" s="6" t="n">
        <v>3</v>
      </c>
      <c r="L1083" s="7" t="s">
        <v>2134</v>
      </c>
      <c r="M1083" s="6" t="n">
        <v>28</v>
      </c>
      <c r="N1083" s="7" t="s">
        <v>40</v>
      </c>
    </row>
    <row r="1084" customFormat="false" ht="29.85" hidden="false" customHeight="false" outlineLevel="0" collapsed="false">
      <c r="A1084" s="6" t="n">
        <v>1083</v>
      </c>
      <c r="B1084" s="7" t="s">
        <v>522</v>
      </c>
      <c r="C1084" s="7" t="s">
        <v>2131</v>
      </c>
      <c r="D1084" s="8" t="s">
        <v>2185</v>
      </c>
      <c r="E1084" s="7" t="s">
        <v>2133</v>
      </c>
      <c r="F1084" s="6" t="s">
        <v>760</v>
      </c>
      <c r="G1084" s="7" t="s">
        <v>27</v>
      </c>
      <c r="H1084" s="7" t="s">
        <v>38</v>
      </c>
      <c r="I1084" s="7" t="s">
        <v>472</v>
      </c>
      <c r="J1084" s="6" t="s">
        <v>2045</v>
      </c>
      <c r="K1084" s="6" t="n">
        <v>3</v>
      </c>
      <c r="L1084" s="7" t="s">
        <v>2134</v>
      </c>
      <c r="M1084" s="6" t="n">
        <v>29</v>
      </c>
      <c r="N1084" s="7" t="s">
        <v>40</v>
      </c>
    </row>
    <row r="1085" customFormat="false" ht="44" hidden="false" customHeight="false" outlineLevel="0" collapsed="false">
      <c r="A1085" s="6" t="n">
        <v>1084</v>
      </c>
      <c r="B1085" s="7" t="s">
        <v>522</v>
      </c>
      <c r="C1085" s="7" t="s">
        <v>2131</v>
      </c>
      <c r="D1085" s="8" t="s">
        <v>2186</v>
      </c>
      <c r="E1085" s="7" t="s">
        <v>2187</v>
      </c>
      <c r="F1085" s="6" t="s">
        <v>760</v>
      </c>
      <c r="G1085" s="7" t="s">
        <v>43</v>
      </c>
      <c r="H1085" s="7" t="s">
        <v>38</v>
      </c>
      <c r="I1085" s="7" t="s">
        <v>1638</v>
      </c>
      <c r="J1085" s="6" t="s">
        <v>2045</v>
      </c>
      <c r="K1085" s="6" t="n">
        <v>3</v>
      </c>
      <c r="L1085" s="7" t="s">
        <v>2134</v>
      </c>
      <c r="M1085" s="6" t="n">
        <v>30</v>
      </c>
      <c r="N1085" s="7" t="s">
        <v>40</v>
      </c>
    </row>
    <row r="1086" customFormat="false" ht="44" hidden="false" customHeight="false" outlineLevel="0" collapsed="false">
      <c r="A1086" s="6" t="n">
        <v>1085</v>
      </c>
      <c r="B1086" s="7" t="s">
        <v>522</v>
      </c>
      <c r="C1086" s="7" t="s">
        <v>2131</v>
      </c>
      <c r="D1086" s="8" t="s">
        <v>2188</v>
      </c>
      <c r="E1086" s="7" t="s">
        <v>2189</v>
      </c>
      <c r="F1086" s="6" t="s">
        <v>760</v>
      </c>
      <c r="G1086" s="7" t="s">
        <v>43</v>
      </c>
      <c r="H1086" s="7" t="s">
        <v>38</v>
      </c>
      <c r="I1086" s="7" t="s">
        <v>1641</v>
      </c>
      <c r="J1086" s="6" t="s">
        <v>2045</v>
      </c>
      <c r="K1086" s="6" t="n">
        <v>3</v>
      </c>
      <c r="L1086" s="7" t="s">
        <v>2134</v>
      </c>
      <c r="M1086" s="6" t="n">
        <v>31</v>
      </c>
      <c r="N1086" s="7" t="s">
        <v>40</v>
      </c>
    </row>
    <row r="1087" customFormat="false" ht="44" hidden="false" customHeight="false" outlineLevel="0" collapsed="false">
      <c r="A1087" s="6" t="n">
        <v>1086</v>
      </c>
      <c r="B1087" s="7" t="s">
        <v>522</v>
      </c>
      <c r="C1087" s="7" t="s">
        <v>2131</v>
      </c>
      <c r="D1087" s="8" t="s">
        <v>2190</v>
      </c>
      <c r="E1087" s="7" t="s">
        <v>2140</v>
      </c>
      <c r="F1087" s="6" t="s">
        <v>760</v>
      </c>
      <c r="G1087" s="7" t="s">
        <v>27</v>
      </c>
      <c r="H1087" s="7" t="s">
        <v>38</v>
      </c>
      <c r="I1087" s="7" t="s">
        <v>1440</v>
      </c>
      <c r="J1087" s="6" t="s">
        <v>2045</v>
      </c>
      <c r="K1087" s="6" t="n">
        <v>3</v>
      </c>
      <c r="L1087" s="7" t="s">
        <v>2134</v>
      </c>
      <c r="M1087" s="6" t="n">
        <v>32</v>
      </c>
      <c r="N1087" s="7" t="s">
        <v>40</v>
      </c>
    </row>
    <row r="1088" customFormat="false" ht="15" hidden="false" customHeight="false" outlineLevel="0" collapsed="false">
      <c r="A1088" s="6" t="n">
        <v>1087</v>
      </c>
      <c r="B1088" s="7" t="s">
        <v>522</v>
      </c>
      <c r="C1088" s="7" t="s">
        <v>2191</v>
      </c>
      <c r="D1088" s="8" t="s">
        <v>2192</v>
      </c>
      <c r="E1088" s="7" t="s">
        <v>2193</v>
      </c>
      <c r="F1088" s="6" t="s">
        <v>760</v>
      </c>
      <c r="G1088" s="7" t="s">
        <v>43</v>
      </c>
      <c r="H1088" s="7" t="s">
        <v>20</v>
      </c>
      <c r="I1088" s="7" t="s">
        <v>44</v>
      </c>
      <c r="J1088" s="6" t="s">
        <v>2045</v>
      </c>
      <c r="K1088" s="6" t="n">
        <v>4</v>
      </c>
      <c r="L1088" s="7" t="s">
        <v>2194</v>
      </c>
      <c r="M1088" s="6" t="n">
        <v>1</v>
      </c>
      <c r="N1088" s="7" t="s">
        <v>24</v>
      </c>
    </row>
    <row r="1089" customFormat="false" ht="15" hidden="false" customHeight="false" outlineLevel="0" collapsed="false">
      <c r="A1089" s="6" t="n">
        <v>1088</v>
      </c>
      <c r="B1089" s="7" t="s">
        <v>522</v>
      </c>
      <c r="C1089" s="7" t="s">
        <v>2191</v>
      </c>
      <c r="D1089" s="8" t="s">
        <v>2195</v>
      </c>
      <c r="E1089" s="7" t="s">
        <v>2196</v>
      </c>
      <c r="F1089" s="6" t="s">
        <v>760</v>
      </c>
      <c r="G1089" s="7" t="s">
        <v>27</v>
      </c>
      <c r="H1089" s="7" t="s">
        <v>20</v>
      </c>
      <c r="I1089" s="7" t="s">
        <v>183</v>
      </c>
      <c r="J1089" s="6" t="s">
        <v>2045</v>
      </c>
      <c r="K1089" s="6" t="n">
        <v>4</v>
      </c>
      <c r="L1089" s="7" t="s">
        <v>2194</v>
      </c>
      <c r="M1089" s="6" t="n">
        <v>2</v>
      </c>
      <c r="N1089" s="7" t="s">
        <v>24</v>
      </c>
    </row>
    <row r="1090" customFormat="false" ht="15" hidden="false" customHeight="false" outlineLevel="0" collapsed="false">
      <c r="A1090" s="6" t="n">
        <v>1089</v>
      </c>
      <c r="B1090" s="7" t="s">
        <v>522</v>
      </c>
      <c r="C1090" s="7" t="s">
        <v>2191</v>
      </c>
      <c r="D1090" s="8" t="s">
        <v>2197</v>
      </c>
      <c r="E1090" s="7" t="s">
        <v>2198</v>
      </c>
      <c r="F1090" s="6" t="s">
        <v>760</v>
      </c>
      <c r="G1090" s="7" t="s">
        <v>43</v>
      </c>
      <c r="H1090" s="7" t="s">
        <v>20</v>
      </c>
      <c r="I1090" s="7" t="s">
        <v>183</v>
      </c>
      <c r="J1090" s="6" t="s">
        <v>2045</v>
      </c>
      <c r="K1090" s="6" t="n">
        <v>4</v>
      </c>
      <c r="L1090" s="7" t="s">
        <v>2194</v>
      </c>
      <c r="M1090" s="6" t="n">
        <v>3</v>
      </c>
      <c r="N1090" s="7" t="s">
        <v>24</v>
      </c>
    </row>
    <row r="1091" customFormat="false" ht="29.85" hidden="false" customHeight="false" outlineLevel="0" collapsed="false">
      <c r="A1091" s="6" t="n">
        <v>1090</v>
      </c>
      <c r="B1091" s="7" t="s">
        <v>522</v>
      </c>
      <c r="C1091" s="7" t="s">
        <v>2191</v>
      </c>
      <c r="D1091" s="8" t="s">
        <v>2199</v>
      </c>
      <c r="E1091" s="7" t="s">
        <v>2200</v>
      </c>
      <c r="F1091" s="6" t="s">
        <v>760</v>
      </c>
      <c r="G1091" s="7" t="s">
        <v>43</v>
      </c>
      <c r="H1091" s="7" t="s">
        <v>20</v>
      </c>
      <c r="I1091" s="7" t="s">
        <v>192</v>
      </c>
      <c r="J1091" s="6" t="s">
        <v>2045</v>
      </c>
      <c r="K1091" s="6" t="n">
        <v>4</v>
      </c>
      <c r="L1091" s="7" t="s">
        <v>2194</v>
      </c>
      <c r="M1091" s="6" t="n">
        <v>4</v>
      </c>
      <c r="N1091" s="7" t="s">
        <v>24</v>
      </c>
    </row>
    <row r="1092" customFormat="false" ht="15" hidden="false" customHeight="false" outlineLevel="0" collapsed="false">
      <c r="A1092" s="6" t="n">
        <v>1091</v>
      </c>
      <c r="B1092" s="7" t="s">
        <v>522</v>
      </c>
      <c r="C1092" s="7" t="s">
        <v>2191</v>
      </c>
      <c r="D1092" s="8" t="s">
        <v>2201</v>
      </c>
      <c r="E1092" s="7" t="s">
        <v>2202</v>
      </c>
      <c r="F1092" s="6" t="s">
        <v>82</v>
      </c>
      <c r="G1092" s="7" t="s">
        <v>27</v>
      </c>
      <c r="H1092" s="7" t="s">
        <v>38</v>
      </c>
      <c r="I1092" s="7" t="s">
        <v>83</v>
      </c>
      <c r="J1092" s="6" t="s">
        <v>2045</v>
      </c>
      <c r="K1092" s="6" t="n">
        <v>4</v>
      </c>
      <c r="L1092" s="7" t="s">
        <v>2194</v>
      </c>
      <c r="M1092" s="6" t="n">
        <v>5</v>
      </c>
      <c r="N1092" s="7" t="s">
        <v>40</v>
      </c>
    </row>
    <row r="1093" customFormat="false" ht="29.85" hidden="false" customHeight="false" outlineLevel="0" collapsed="false">
      <c r="A1093" s="6" t="n">
        <v>1092</v>
      </c>
      <c r="B1093" s="7" t="s">
        <v>522</v>
      </c>
      <c r="C1093" s="7" t="s">
        <v>2191</v>
      </c>
      <c r="D1093" s="8" t="s">
        <v>2203</v>
      </c>
      <c r="E1093" s="7" t="s">
        <v>2204</v>
      </c>
      <c r="F1093" s="6" t="s">
        <v>760</v>
      </c>
      <c r="G1093" s="7" t="s">
        <v>27</v>
      </c>
      <c r="H1093" s="7" t="s">
        <v>20</v>
      </c>
      <c r="I1093" s="7" t="s">
        <v>85</v>
      </c>
      <c r="J1093" s="6" t="s">
        <v>2045</v>
      </c>
      <c r="K1093" s="6" t="n">
        <v>4</v>
      </c>
      <c r="L1093" s="7" t="s">
        <v>2194</v>
      </c>
      <c r="M1093" s="6" t="n">
        <v>6</v>
      </c>
      <c r="N1093" s="7" t="s">
        <v>24</v>
      </c>
    </row>
    <row r="1094" customFormat="false" ht="29.85" hidden="false" customHeight="false" outlineLevel="0" collapsed="false">
      <c r="A1094" s="6" t="n">
        <v>1093</v>
      </c>
      <c r="B1094" s="7" t="s">
        <v>522</v>
      </c>
      <c r="C1094" s="7" t="s">
        <v>2191</v>
      </c>
      <c r="D1094" s="8" t="s">
        <v>2205</v>
      </c>
      <c r="E1094" s="7" t="s">
        <v>2206</v>
      </c>
      <c r="F1094" s="6" t="s">
        <v>760</v>
      </c>
      <c r="G1094" s="7" t="s">
        <v>43</v>
      </c>
      <c r="H1094" s="7" t="s">
        <v>20</v>
      </c>
      <c r="I1094" s="7" t="s">
        <v>85</v>
      </c>
      <c r="J1094" s="6" t="s">
        <v>2045</v>
      </c>
      <c r="K1094" s="6" t="n">
        <v>4</v>
      </c>
      <c r="L1094" s="7" t="s">
        <v>2194</v>
      </c>
      <c r="M1094" s="6" t="n">
        <v>7</v>
      </c>
      <c r="N1094" s="7" t="s">
        <v>24</v>
      </c>
    </row>
    <row r="1095" customFormat="false" ht="29.85" hidden="false" customHeight="false" outlineLevel="0" collapsed="false">
      <c r="A1095" s="6" t="n">
        <v>1094</v>
      </c>
      <c r="B1095" s="7" t="s">
        <v>522</v>
      </c>
      <c r="C1095" s="7" t="s">
        <v>2191</v>
      </c>
      <c r="D1095" s="8" t="s">
        <v>2207</v>
      </c>
      <c r="E1095" s="7" t="s">
        <v>2208</v>
      </c>
      <c r="F1095" s="6" t="s">
        <v>760</v>
      </c>
      <c r="G1095" s="7" t="s">
        <v>43</v>
      </c>
      <c r="H1095" s="7" t="s">
        <v>20</v>
      </c>
      <c r="I1095" s="7" t="s">
        <v>88</v>
      </c>
      <c r="J1095" s="6" t="s">
        <v>2045</v>
      </c>
      <c r="K1095" s="6" t="n">
        <v>4</v>
      </c>
      <c r="L1095" s="7" t="s">
        <v>2194</v>
      </c>
      <c r="M1095" s="6" t="n">
        <v>8</v>
      </c>
      <c r="N1095" s="7" t="s">
        <v>24</v>
      </c>
    </row>
    <row r="1096" customFormat="false" ht="29.85" hidden="false" customHeight="false" outlineLevel="0" collapsed="false">
      <c r="A1096" s="6" t="n">
        <v>1095</v>
      </c>
      <c r="B1096" s="7" t="s">
        <v>522</v>
      </c>
      <c r="C1096" s="7" t="s">
        <v>2191</v>
      </c>
      <c r="D1096" s="8" t="s">
        <v>2209</v>
      </c>
      <c r="E1096" s="7" t="s">
        <v>2204</v>
      </c>
      <c r="F1096" s="6" t="s">
        <v>760</v>
      </c>
      <c r="G1096" s="7" t="s">
        <v>27</v>
      </c>
      <c r="H1096" s="7" t="s">
        <v>20</v>
      </c>
      <c r="I1096" s="7" t="s">
        <v>150</v>
      </c>
      <c r="J1096" s="6" t="s">
        <v>2045</v>
      </c>
      <c r="K1096" s="6" t="n">
        <v>4</v>
      </c>
      <c r="L1096" s="7" t="s">
        <v>2194</v>
      </c>
      <c r="M1096" s="6" t="n">
        <v>9</v>
      </c>
      <c r="N1096" s="7" t="s">
        <v>24</v>
      </c>
    </row>
    <row r="1097" customFormat="false" ht="15" hidden="false" customHeight="false" outlineLevel="0" collapsed="false">
      <c r="A1097" s="6" t="n">
        <v>1096</v>
      </c>
      <c r="B1097" s="7" t="s">
        <v>522</v>
      </c>
      <c r="C1097" s="7" t="s">
        <v>2191</v>
      </c>
      <c r="D1097" s="8" t="s">
        <v>2210</v>
      </c>
      <c r="E1097" s="7" t="s">
        <v>2211</v>
      </c>
      <c r="F1097" s="6" t="s">
        <v>82</v>
      </c>
      <c r="G1097" s="7" t="s">
        <v>27</v>
      </c>
      <c r="H1097" s="7" t="s">
        <v>38</v>
      </c>
      <c r="I1097" s="7" t="s">
        <v>1096</v>
      </c>
      <c r="J1097" s="6" t="s">
        <v>2045</v>
      </c>
      <c r="K1097" s="6" t="n">
        <v>4</v>
      </c>
      <c r="L1097" s="7" t="s">
        <v>2194</v>
      </c>
      <c r="M1097" s="6" t="n">
        <v>10</v>
      </c>
      <c r="N1097" s="7" t="s">
        <v>40</v>
      </c>
    </row>
    <row r="1098" customFormat="false" ht="29.85" hidden="false" customHeight="false" outlineLevel="0" collapsed="false">
      <c r="A1098" s="6" t="n">
        <v>1097</v>
      </c>
      <c r="B1098" s="7" t="s">
        <v>522</v>
      </c>
      <c r="C1098" s="7" t="s">
        <v>2191</v>
      </c>
      <c r="D1098" s="9" t="s">
        <v>2212</v>
      </c>
      <c r="E1098" s="7" t="s">
        <v>2213</v>
      </c>
      <c r="F1098" s="6" t="s">
        <v>760</v>
      </c>
      <c r="G1098" s="7" t="s">
        <v>27</v>
      </c>
      <c r="H1098" s="7" t="s">
        <v>20</v>
      </c>
      <c r="I1098" s="7" t="s">
        <v>150</v>
      </c>
      <c r="J1098" s="6" t="s">
        <v>2045</v>
      </c>
      <c r="K1098" s="6" t="n">
        <v>4</v>
      </c>
      <c r="L1098" s="7" t="s">
        <v>2194</v>
      </c>
      <c r="M1098" s="6" t="n">
        <v>11</v>
      </c>
      <c r="N1098" s="7" t="s">
        <v>24</v>
      </c>
    </row>
    <row r="1099" customFormat="false" ht="29.85" hidden="false" customHeight="false" outlineLevel="0" collapsed="false">
      <c r="A1099" s="6" t="n">
        <v>1098</v>
      </c>
      <c r="B1099" s="7" t="s">
        <v>522</v>
      </c>
      <c r="C1099" s="7" t="s">
        <v>2191</v>
      </c>
      <c r="D1099" s="8" t="s">
        <v>2214</v>
      </c>
      <c r="E1099" s="7" t="s">
        <v>2215</v>
      </c>
      <c r="F1099" s="6" t="s">
        <v>760</v>
      </c>
      <c r="G1099" s="7" t="s">
        <v>43</v>
      </c>
      <c r="H1099" s="7" t="s">
        <v>20</v>
      </c>
      <c r="I1099" s="7" t="s">
        <v>158</v>
      </c>
      <c r="J1099" s="6" t="s">
        <v>2045</v>
      </c>
      <c r="K1099" s="6" t="n">
        <v>4</v>
      </c>
      <c r="L1099" s="7" t="s">
        <v>2194</v>
      </c>
      <c r="M1099" s="6" t="n">
        <v>12</v>
      </c>
      <c r="N1099" s="7" t="s">
        <v>24</v>
      </c>
    </row>
    <row r="1100" customFormat="false" ht="29.85" hidden="false" customHeight="false" outlineLevel="0" collapsed="false">
      <c r="A1100" s="6" t="n">
        <v>1099</v>
      </c>
      <c r="B1100" s="7" t="s">
        <v>522</v>
      </c>
      <c r="C1100" s="7" t="s">
        <v>2191</v>
      </c>
      <c r="D1100" s="8" t="s">
        <v>2216</v>
      </c>
      <c r="E1100" s="7" t="s">
        <v>2217</v>
      </c>
      <c r="F1100" s="6" t="s">
        <v>760</v>
      </c>
      <c r="G1100" s="7" t="s">
        <v>27</v>
      </c>
      <c r="H1100" s="7" t="s">
        <v>20</v>
      </c>
      <c r="I1100" s="7" t="s">
        <v>201</v>
      </c>
      <c r="J1100" s="6" t="s">
        <v>2045</v>
      </c>
      <c r="K1100" s="6" t="n">
        <v>4</v>
      </c>
      <c r="L1100" s="7" t="s">
        <v>2194</v>
      </c>
      <c r="M1100" s="6" t="n">
        <v>13</v>
      </c>
      <c r="N1100" s="7" t="s">
        <v>24</v>
      </c>
    </row>
    <row r="1101" customFormat="false" ht="15" hidden="false" customHeight="false" outlineLevel="0" collapsed="false">
      <c r="A1101" s="6" t="n">
        <v>1100</v>
      </c>
      <c r="B1101" s="7" t="s">
        <v>522</v>
      </c>
      <c r="C1101" s="7" t="s">
        <v>2191</v>
      </c>
      <c r="D1101" s="8" t="s">
        <v>2218</v>
      </c>
      <c r="E1101" s="7" t="s">
        <v>2219</v>
      </c>
      <c r="F1101" s="6" t="s">
        <v>82</v>
      </c>
      <c r="G1101" s="7" t="s">
        <v>27</v>
      </c>
      <c r="H1101" s="7" t="s">
        <v>38</v>
      </c>
      <c r="I1101" s="7" t="s">
        <v>153</v>
      </c>
      <c r="J1101" s="6" t="s">
        <v>2045</v>
      </c>
      <c r="K1101" s="6" t="n">
        <v>4</v>
      </c>
      <c r="L1101" s="7" t="s">
        <v>2194</v>
      </c>
      <c r="M1101" s="6" t="n">
        <v>14</v>
      </c>
      <c r="N1101" s="7" t="s">
        <v>40</v>
      </c>
    </row>
    <row r="1102" customFormat="false" ht="29.85" hidden="false" customHeight="false" outlineLevel="0" collapsed="false">
      <c r="A1102" s="6" t="n">
        <v>1101</v>
      </c>
      <c r="B1102" s="7" t="s">
        <v>522</v>
      </c>
      <c r="C1102" s="7" t="s">
        <v>2191</v>
      </c>
      <c r="D1102" s="8" t="s">
        <v>2220</v>
      </c>
      <c r="E1102" s="7" t="s">
        <v>2204</v>
      </c>
      <c r="F1102" s="6" t="s">
        <v>760</v>
      </c>
      <c r="G1102" s="7" t="s">
        <v>27</v>
      </c>
      <c r="H1102" s="7" t="s">
        <v>38</v>
      </c>
      <c r="I1102" s="7" t="s">
        <v>565</v>
      </c>
      <c r="J1102" s="6" t="s">
        <v>2045</v>
      </c>
      <c r="K1102" s="6" t="n">
        <v>4</v>
      </c>
      <c r="L1102" s="7" t="s">
        <v>2194</v>
      </c>
      <c r="M1102" s="6" t="n">
        <v>15</v>
      </c>
      <c r="N1102" s="7" t="s">
        <v>40</v>
      </c>
    </row>
    <row r="1103" customFormat="false" ht="29.85" hidden="false" customHeight="false" outlineLevel="0" collapsed="false">
      <c r="A1103" s="6" t="n">
        <v>1102</v>
      </c>
      <c r="B1103" s="7" t="s">
        <v>522</v>
      </c>
      <c r="C1103" s="7" t="s">
        <v>2191</v>
      </c>
      <c r="D1103" s="8" t="s">
        <v>2221</v>
      </c>
      <c r="E1103" s="7" t="s">
        <v>2222</v>
      </c>
      <c r="F1103" s="6" t="s">
        <v>760</v>
      </c>
      <c r="G1103" s="7" t="s">
        <v>27</v>
      </c>
      <c r="H1103" s="7" t="s">
        <v>38</v>
      </c>
      <c r="I1103" s="7" t="s">
        <v>565</v>
      </c>
      <c r="J1103" s="6" t="s">
        <v>2045</v>
      </c>
      <c r="K1103" s="6" t="n">
        <v>4</v>
      </c>
      <c r="L1103" s="7" t="s">
        <v>2194</v>
      </c>
      <c r="M1103" s="6" t="n">
        <v>16</v>
      </c>
      <c r="N1103" s="7" t="s">
        <v>40</v>
      </c>
    </row>
    <row r="1104" customFormat="false" ht="29.85" hidden="false" customHeight="false" outlineLevel="0" collapsed="false">
      <c r="A1104" s="6" t="n">
        <v>1103</v>
      </c>
      <c r="B1104" s="7" t="s">
        <v>522</v>
      </c>
      <c r="C1104" s="7" t="s">
        <v>2191</v>
      </c>
      <c r="D1104" s="8" t="s">
        <v>2223</v>
      </c>
      <c r="E1104" s="7" t="s">
        <v>2217</v>
      </c>
      <c r="F1104" s="6" t="s">
        <v>760</v>
      </c>
      <c r="G1104" s="7" t="s">
        <v>27</v>
      </c>
      <c r="H1104" s="7" t="s">
        <v>38</v>
      </c>
      <c r="I1104" s="7" t="s">
        <v>163</v>
      </c>
      <c r="J1104" s="6" t="s">
        <v>2045</v>
      </c>
      <c r="K1104" s="6" t="n">
        <v>4</v>
      </c>
      <c r="L1104" s="7" t="s">
        <v>2194</v>
      </c>
      <c r="M1104" s="6" t="n">
        <v>17</v>
      </c>
      <c r="N1104" s="7" t="s">
        <v>40</v>
      </c>
    </row>
    <row r="1105" customFormat="false" ht="44" hidden="false" customHeight="false" outlineLevel="0" collapsed="false">
      <c r="A1105" s="6" t="n">
        <v>1104</v>
      </c>
      <c r="B1105" s="7" t="s">
        <v>522</v>
      </c>
      <c r="C1105" s="7" t="s">
        <v>2191</v>
      </c>
      <c r="D1105" s="8" t="s">
        <v>2224</v>
      </c>
      <c r="E1105" s="7" t="s">
        <v>2217</v>
      </c>
      <c r="F1105" s="6" t="s">
        <v>760</v>
      </c>
      <c r="G1105" s="7" t="s">
        <v>27</v>
      </c>
      <c r="H1105" s="7" t="s">
        <v>38</v>
      </c>
      <c r="I1105" s="7" t="s">
        <v>387</v>
      </c>
      <c r="J1105" s="6" t="s">
        <v>2045</v>
      </c>
      <c r="K1105" s="6" t="n">
        <v>4</v>
      </c>
      <c r="L1105" s="7" t="s">
        <v>2194</v>
      </c>
      <c r="M1105" s="6" t="n">
        <v>18</v>
      </c>
      <c r="N1105" s="7" t="s">
        <v>40</v>
      </c>
    </row>
    <row r="1106" customFormat="false" ht="44" hidden="false" customHeight="false" outlineLevel="0" collapsed="false">
      <c r="A1106" s="6" t="n">
        <v>1105</v>
      </c>
      <c r="B1106" s="7" t="s">
        <v>522</v>
      </c>
      <c r="C1106" s="7" t="s">
        <v>2191</v>
      </c>
      <c r="D1106" s="8" t="s">
        <v>2225</v>
      </c>
      <c r="E1106" s="7" t="s">
        <v>2226</v>
      </c>
      <c r="F1106" s="6" t="s">
        <v>760</v>
      </c>
      <c r="G1106" s="7" t="s">
        <v>43</v>
      </c>
      <c r="H1106" s="7" t="s">
        <v>38</v>
      </c>
      <c r="I1106" s="7" t="s">
        <v>1128</v>
      </c>
      <c r="J1106" s="6" t="s">
        <v>2045</v>
      </c>
      <c r="K1106" s="6" t="n">
        <v>4</v>
      </c>
      <c r="L1106" s="7" t="s">
        <v>2194</v>
      </c>
      <c r="M1106" s="6" t="n">
        <v>19</v>
      </c>
      <c r="N1106" s="7" t="s">
        <v>40</v>
      </c>
    </row>
    <row r="1107" customFormat="false" ht="44" hidden="false" customHeight="false" outlineLevel="0" collapsed="false">
      <c r="A1107" s="6" t="n">
        <v>1106</v>
      </c>
      <c r="B1107" s="7" t="s">
        <v>522</v>
      </c>
      <c r="C1107" s="7" t="s">
        <v>2191</v>
      </c>
      <c r="D1107" s="8" t="s">
        <v>2227</v>
      </c>
      <c r="E1107" s="7" t="s">
        <v>2213</v>
      </c>
      <c r="F1107" s="6" t="s">
        <v>760</v>
      </c>
      <c r="G1107" s="7" t="s">
        <v>27</v>
      </c>
      <c r="H1107" s="7" t="s">
        <v>38</v>
      </c>
      <c r="I1107" s="7" t="s">
        <v>2228</v>
      </c>
      <c r="J1107" s="6" t="s">
        <v>2045</v>
      </c>
      <c r="K1107" s="6" t="n">
        <v>4</v>
      </c>
      <c r="L1107" s="7" t="s">
        <v>2194</v>
      </c>
      <c r="M1107" s="6" t="n">
        <v>20</v>
      </c>
      <c r="N1107" s="7" t="s">
        <v>40</v>
      </c>
    </row>
    <row r="1108" customFormat="false" ht="15" hidden="false" customHeight="false" outlineLevel="0" collapsed="false">
      <c r="A1108" s="6" t="n">
        <v>1107</v>
      </c>
      <c r="B1108" s="7" t="s">
        <v>522</v>
      </c>
      <c r="C1108" s="7" t="s">
        <v>2229</v>
      </c>
      <c r="D1108" s="8" t="s">
        <v>2230</v>
      </c>
      <c r="E1108" s="7" t="s">
        <v>2231</v>
      </c>
      <c r="F1108" s="6" t="s">
        <v>760</v>
      </c>
      <c r="G1108" s="7" t="s">
        <v>43</v>
      </c>
      <c r="H1108" s="7" t="s">
        <v>20</v>
      </c>
      <c r="I1108" s="7" t="s">
        <v>32</v>
      </c>
      <c r="J1108" s="6" t="s">
        <v>2045</v>
      </c>
      <c r="K1108" s="6" t="n">
        <v>5</v>
      </c>
      <c r="L1108" s="7" t="s">
        <v>2232</v>
      </c>
      <c r="M1108" s="6" t="n">
        <v>1</v>
      </c>
      <c r="N1108" s="7" t="s">
        <v>24</v>
      </c>
    </row>
    <row r="1109" customFormat="false" ht="29.85" hidden="false" customHeight="false" outlineLevel="0" collapsed="false">
      <c r="A1109" s="6" t="n">
        <v>1108</v>
      </c>
      <c r="B1109" s="7" t="s">
        <v>522</v>
      </c>
      <c r="C1109" s="7" t="s">
        <v>2229</v>
      </c>
      <c r="D1109" s="8" t="s">
        <v>2233</v>
      </c>
      <c r="E1109" s="7" t="s">
        <v>2234</v>
      </c>
      <c r="F1109" s="6" t="s">
        <v>760</v>
      </c>
      <c r="G1109" s="7" t="s">
        <v>27</v>
      </c>
      <c r="H1109" s="7" t="s">
        <v>20</v>
      </c>
      <c r="I1109" s="7" t="s">
        <v>49</v>
      </c>
      <c r="J1109" s="6" t="s">
        <v>2045</v>
      </c>
      <c r="K1109" s="6" t="n">
        <v>5</v>
      </c>
      <c r="L1109" s="7" t="s">
        <v>2232</v>
      </c>
      <c r="M1109" s="6" t="n">
        <v>2</v>
      </c>
      <c r="N1109" s="7" t="s">
        <v>24</v>
      </c>
    </row>
    <row r="1110" customFormat="false" ht="29.85" hidden="false" customHeight="false" outlineLevel="0" collapsed="false">
      <c r="A1110" s="6" t="n">
        <v>1109</v>
      </c>
      <c r="B1110" s="7" t="s">
        <v>522</v>
      </c>
      <c r="C1110" s="7" t="s">
        <v>2229</v>
      </c>
      <c r="D1110" s="8" t="s">
        <v>2235</v>
      </c>
      <c r="E1110" s="7" t="s">
        <v>2236</v>
      </c>
      <c r="F1110" s="6" t="s">
        <v>760</v>
      </c>
      <c r="G1110" s="7" t="s">
        <v>27</v>
      </c>
      <c r="H1110" s="7" t="s">
        <v>20</v>
      </c>
      <c r="I1110" s="7" t="s">
        <v>85</v>
      </c>
      <c r="J1110" s="6" t="s">
        <v>2045</v>
      </c>
      <c r="K1110" s="6" t="n">
        <v>5</v>
      </c>
      <c r="L1110" s="7" t="s">
        <v>2232</v>
      </c>
      <c r="M1110" s="6" t="n">
        <v>3</v>
      </c>
      <c r="N1110" s="7" t="s">
        <v>24</v>
      </c>
    </row>
    <row r="1111" customFormat="false" ht="29.85" hidden="false" customHeight="false" outlineLevel="0" collapsed="false">
      <c r="A1111" s="6" t="n">
        <v>1110</v>
      </c>
      <c r="B1111" s="7" t="s">
        <v>522</v>
      </c>
      <c r="C1111" s="7" t="s">
        <v>2229</v>
      </c>
      <c r="D1111" s="8" t="s">
        <v>2237</v>
      </c>
      <c r="E1111" s="7" t="s">
        <v>2238</v>
      </c>
      <c r="F1111" s="6" t="s">
        <v>760</v>
      </c>
      <c r="G1111" s="7" t="s">
        <v>27</v>
      </c>
      <c r="H1111" s="7" t="s">
        <v>20</v>
      </c>
      <c r="I1111" s="7" t="s">
        <v>91</v>
      </c>
      <c r="J1111" s="6" t="s">
        <v>2045</v>
      </c>
      <c r="K1111" s="6" t="n">
        <v>5</v>
      </c>
      <c r="L1111" s="7" t="s">
        <v>2232</v>
      </c>
      <c r="M1111" s="6" t="n">
        <v>4</v>
      </c>
      <c r="N1111" s="7" t="s">
        <v>24</v>
      </c>
    </row>
    <row r="1112" customFormat="false" ht="15" hidden="false" customHeight="false" outlineLevel="0" collapsed="false">
      <c r="A1112" s="6" t="n">
        <v>1111</v>
      </c>
      <c r="B1112" s="7" t="s">
        <v>522</v>
      </c>
      <c r="C1112" s="7" t="s">
        <v>2229</v>
      </c>
      <c r="D1112" s="9" t="s">
        <v>2239</v>
      </c>
      <c r="E1112" s="7" t="s">
        <v>2240</v>
      </c>
      <c r="F1112" s="6" t="s">
        <v>82</v>
      </c>
      <c r="G1112" s="7" t="s">
        <v>27</v>
      </c>
      <c r="H1112" s="7" t="s">
        <v>38</v>
      </c>
      <c r="I1112" s="7" t="s">
        <v>1152</v>
      </c>
      <c r="J1112" s="6" t="s">
        <v>2045</v>
      </c>
      <c r="K1112" s="6" t="n">
        <v>5</v>
      </c>
      <c r="L1112" s="7" t="s">
        <v>2232</v>
      </c>
      <c r="M1112" s="6" t="n">
        <v>5</v>
      </c>
      <c r="N1112" s="7" t="s">
        <v>40</v>
      </c>
    </row>
    <row r="1113" customFormat="false" ht="29.85" hidden="false" customHeight="false" outlineLevel="0" collapsed="false">
      <c r="A1113" s="6" t="n">
        <v>1112</v>
      </c>
      <c r="B1113" s="7" t="s">
        <v>522</v>
      </c>
      <c r="C1113" s="7" t="s">
        <v>2229</v>
      </c>
      <c r="D1113" s="8" t="s">
        <v>2241</v>
      </c>
      <c r="E1113" s="7" t="s">
        <v>2242</v>
      </c>
      <c r="F1113" s="6" t="s">
        <v>760</v>
      </c>
      <c r="G1113" s="7" t="s">
        <v>43</v>
      </c>
      <c r="H1113" s="7" t="s">
        <v>20</v>
      </c>
      <c r="I1113" s="7" t="s">
        <v>295</v>
      </c>
      <c r="J1113" s="6" t="s">
        <v>2045</v>
      </c>
      <c r="K1113" s="6" t="n">
        <v>5</v>
      </c>
      <c r="L1113" s="7" t="s">
        <v>2232</v>
      </c>
      <c r="M1113" s="6" t="n">
        <v>6</v>
      </c>
      <c r="N1113" s="7" t="s">
        <v>24</v>
      </c>
    </row>
    <row r="1114" customFormat="false" ht="29.85" hidden="false" customHeight="false" outlineLevel="0" collapsed="false">
      <c r="A1114" s="6" t="n">
        <v>1113</v>
      </c>
      <c r="B1114" s="7" t="s">
        <v>522</v>
      </c>
      <c r="C1114" s="7" t="s">
        <v>2229</v>
      </c>
      <c r="D1114" s="8" t="s">
        <v>2243</v>
      </c>
      <c r="E1114" s="7" t="s">
        <v>2206</v>
      </c>
      <c r="F1114" s="6" t="s">
        <v>760</v>
      </c>
      <c r="G1114" s="7" t="s">
        <v>43</v>
      </c>
      <c r="H1114" s="7" t="s">
        <v>20</v>
      </c>
      <c r="I1114" s="7" t="s">
        <v>117</v>
      </c>
      <c r="J1114" s="6" t="s">
        <v>2045</v>
      </c>
      <c r="K1114" s="6" t="n">
        <v>5</v>
      </c>
      <c r="L1114" s="7" t="s">
        <v>2232</v>
      </c>
      <c r="M1114" s="6" t="n">
        <v>7</v>
      </c>
      <c r="N1114" s="7" t="s">
        <v>24</v>
      </c>
    </row>
    <row r="1115" customFormat="false" ht="29.85" hidden="false" customHeight="false" outlineLevel="0" collapsed="false">
      <c r="A1115" s="6" t="n">
        <v>1114</v>
      </c>
      <c r="B1115" s="7" t="s">
        <v>522</v>
      </c>
      <c r="C1115" s="7" t="s">
        <v>2229</v>
      </c>
      <c r="D1115" s="8" t="s">
        <v>2244</v>
      </c>
      <c r="E1115" s="7" t="s">
        <v>2245</v>
      </c>
      <c r="F1115" s="6" t="s">
        <v>760</v>
      </c>
      <c r="G1115" s="7" t="s">
        <v>27</v>
      </c>
      <c r="H1115" s="7" t="s">
        <v>38</v>
      </c>
      <c r="I1115" s="7" t="s">
        <v>163</v>
      </c>
      <c r="J1115" s="6" t="s">
        <v>2045</v>
      </c>
      <c r="K1115" s="6" t="n">
        <v>5</v>
      </c>
      <c r="L1115" s="7" t="s">
        <v>2232</v>
      </c>
      <c r="M1115" s="6" t="n">
        <v>8</v>
      </c>
      <c r="N1115" s="7" t="s">
        <v>40</v>
      </c>
    </row>
    <row r="1116" customFormat="false" ht="29.85" hidden="false" customHeight="false" outlineLevel="0" collapsed="false">
      <c r="A1116" s="6" t="n">
        <v>1115</v>
      </c>
      <c r="B1116" s="7" t="s">
        <v>522</v>
      </c>
      <c r="C1116" s="7" t="s">
        <v>2229</v>
      </c>
      <c r="D1116" s="8" t="s">
        <v>2246</v>
      </c>
      <c r="E1116" s="7" t="s">
        <v>2247</v>
      </c>
      <c r="F1116" s="6" t="s">
        <v>760</v>
      </c>
      <c r="G1116" s="7" t="s">
        <v>27</v>
      </c>
      <c r="H1116" s="7" t="s">
        <v>38</v>
      </c>
      <c r="I1116" s="7" t="s">
        <v>318</v>
      </c>
      <c r="J1116" s="6" t="s">
        <v>2045</v>
      </c>
      <c r="K1116" s="6" t="n">
        <v>5</v>
      </c>
      <c r="L1116" s="7" t="s">
        <v>2232</v>
      </c>
      <c r="M1116" s="6" t="n">
        <v>9</v>
      </c>
      <c r="N1116" s="7" t="s">
        <v>40</v>
      </c>
    </row>
    <row r="1117" customFormat="false" ht="29.85" hidden="false" customHeight="false" outlineLevel="0" collapsed="false">
      <c r="A1117" s="6" t="n">
        <v>1116</v>
      </c>
      <c r="B1117" s="7" t="s">
        <v>522</v>
      </c>
      <c r="C1117" s="7" t="s">
        <v>2229</v>
      </c>
      <c r="D1117" s="8" t="s">
        <v>2248</v>
      </c>
      <c r="E1117" s="7" t="s">
        <v>2231</v>
      </c>
      <c r="F1117" s="6" t="s">
        <v>760</v>
      </c>
      <c r="G1117" s="7" t="s">
        <v>43</v>
      </c>
      <c r="H1117" s="7" t="s">
        <v>38</v>
      </c>
      <c r="I1117" s="7" t="s">
        <v>125</v>
      </c>
      <c r="J1117" s="6" t="s">
        <v>2045</v>
      </c>
      <c r="K1117" s="6" t="n">
        <v>5</v>
      </c>
      <c r="L1117" s="7" t="s">
        <v>2232</v>
      </c>
      <c r="M1117" s="6" t="n">
        <v>10</v>
      </c>
      <c r="N1117" s="7" t="s">
        <v>40</v>
      </c>
    </row>
    <row r="1118" customFormat="false" ht="29.85" hidden="false" customHeight="false" outlineLevel="0" collapsed="false">
      <c r="A1118" s="6" t="n">
        <v>1117</v>
      </c>
      <c r="B1118" s="7" t="s">
        <v>522</v>
      </c>
      <c r="C1118" s="7" t="s">
        <v>2229</v>
      </c>
      <c r="D1118" s="8" t="s">
        <v>2249</v>
      </c>
      <c r="E1118" s="7" t="s">
        <v>2250</v>
      </c>
      <c r="F1118" s="6" t="s">
        <v>760</v>
      </c>
      <c r="G1118" s="7" t="s">
        <v>27</v>
      </c>
      <c r="H1118" s="7" t="s">
        <v>38</v>
      </c>
      <c r="I1118" s="7" t="s">
        <v>640</v>
      </c>
      <c r="J1118" s="6" t="s">
        <v>2045</v>
      </c>
      <c r="K1118" s="6" t="n">
        <v>5</v>
      </c>
      <c r="L1118" s="7" t="s">
        <v>2232</v>
      </c>
      <c r="M1118" s="6" t="n">
        <v>11</v>
      </c>
      <c r="N1118" s="7" t="s">
        <v>40</v>
      </c>
    </row>
    <row r="1119" customFormat="false" ht="44" hidden="false" customHeight="false" outlineLevel="0" collapsed="false">
      <c r="A1119" s="6" t="n">
        <v>1118</v>
      </c>
      <c r="B1119" s="7" t="s">
        <v>522</v>
      </c>
      <c r="C1119" s="7" t="s">
        <v>2229</v>
      </c>
      <c r="D1119" s="8" t="s">
        <v>2251</v>
      </c>
      <c r="E1119" s="7" t="s">
        <v>2245</v>
      </c>
      <c r="F1119" s="6" t="s">
        <v>760</v>
      </c>
      <c r="G1119" s="7" t="s">
        <v>27</v>
      </c>
      <c r="H1119" s="7" t="s">
        <v>38</v>
      </c>
      <c r="I1119" s="7" t="s">
        <v>1785</v>
      </c>
      <c r="J1119" s="6" t="s">
        <v>2045</v>
      </c>
      <c r="K1119" s="6" t="n">
        <v>5</v>
      </c>
      <c r="L1119" s="7" t="s">
        <v>2232</v>
      </c>
      <c r="M1119" s="6" t="n">
        <v>12</v>
      </c>
      <c r="N1119" s="7" t="s">
        <v>40</v>
      </c>
    </row>
    <row r="1120" customFormat="false" ht="44" hidden="false" customHeight="false" outlineLevel="0" collapsed="false">
      <c r="A1120" s="6" t="n">
        <v>1119</v>
      </c>
      <c r="B1120" s="7" t="s">
        <v>522</v>
      </c>
      <c r="C1120" s="7" t="s">
        <v>2229</v>
      </c>
      <c r="D1120" s="8" t="s">
        <v>2252</v>
      </c>
      <c r="E1120" s="7" t="s">
        <v>2253</v>
      </c>
      <c r="F1120" s="6" t="s">
        <v>760</v>
      </c>
      <c r="G1120" s="7" t="s">
        <v>43</v>
      </c>
      <c r="H1120" s="7" t="s">
        <v>38</v>
      </c>
      <c r="I1120" s="7" t="s">
        <v>2254</v>
      </c>
      <c r="J1120" s="6" t="s">
        <v>2045</v>
      </c>
      <c r="K1120" s="6" t="n">
        <v>5</v>
      </c>
      <c r="L1120" s="7" t="s">
        <v>2232</v>
      </c>
      <c r="M1120" s="6" t="n">
        <v>13</v>
      </c>
      <c r="N1120" s="7" t="s">
        <v>40</v>
      </c>
    </row>
    <row r="1121" customFormat="false" ht="44" hidden="false" customHeight="false" outlineLevel="0" collapsed="false">
      <c r="A1121" s="6" t="n">
        <v>1120</v>
      </c>
      <c r="B1121" s="7" t="s">
        <v>522</v>
      </c>
      <c r="C1121" s="7" t="s">
        <v>2229</v>
      </c>
      <c r="D1121" s="8" t="s">
        <v>2255</v>
      </c>
      <c r="E1121" s="7" t="s">
        <v>2256</v>
      </c>
      <c r="F1121" s="6" t="s">
        <v>760</v>
      </c>
      <c r="G1121" s="7" t="s">
        <v>27</v>
      </c>
      <c r="H1121" s="7" t="s">
        <v>38</v>
      </c>
      <c r="I1121" s="7" t="s">
        <v>1014</v>
      </c>
      <c r="J1121" s="6" t="s">
        <v>2045</v>
      </c>
      <c r="K1121" s="6" t="n">
        <v>5</v>
      </c>
      <c r="L1121" s="7" t="s">
        <v>2232</v>
      </c>
      <c r="M1121" s="6" t="n">
        <v>14</v>
      </c>
      <c r="N1121" s="7" t="s">
        <v>40</v>
      </c>
    </row>
    <row r="1122" customFormat="false" ht="44" hidden="false" customHeight="false" outlineLevel="0" collapsed="false">
      <c r="A1122" s="6" t="n">
        <v>1121</v>
      </c>
      <c r="B1122" s="7" t="s">
        <v>522</v>
      </c>
      <c r="C1122" s="7" t="s">
        <v>2229</v>
      </c>
      <c r="D1122" s="8" t="s">
        <v>2257</v>
      </c>
      <c r="E1122" s="7" t="s">
        <v>2250</v>
      </c>
      <c r="F1122" s="6" t="s">
        <v>760</v>
      </c>
      <c r="G1122" s="7" t="s">
        <v>27</v>
      </c>
      <c r="H1122" s="7" t="s">
        <v>38</v>
      </c>
      <c r="I1122" s="7" t="s">
        <v>129</v>
      </c>
      <c r="J1122" s="6" t="s">
        <v>2045</v>
      </c>
      <c r="K1122" s="6" t="n">
        <v>5</v>
      </c>
      <c r="L1122" s="7" t="s">
        <v>2232</v>
      </c>
      <c r="M1122" s="6" t="n">
        <v>15</v>
      </c>
      <c r="N1122" s="7" t="s">
        <v>40</v>
      </c>
    </row>
    <row r="1123" customFormat="false" ht="15" hidden="false" customHeight="false" outlineLevel="0" collapsed="false">
      <c r="A1123" s="6" t="n">
        <v>1122</v>
      </c>
      <c r="B1123" s="7" t="s">
        <v>522</v>
      </c>
      <c r="C1123" s="7" t="s">
        <v>2258</v>
      </c>
      <c r="D1123" s="8" t="s">
        <v>2259</v>
      </c>
      <c r="E1123" s="7" t="s">
        <v>2260</v>
      </c>
      <c r="F1123" s="6" t="s">
        <v>760</v>
      </c>
      <c r="G1123" s="7" t="s">
        <v>27</v>
      </c>
      <c r="H1123" s="7" t="s">
        <v>20</v>
      </c>
      <c r="I1123" s="7" t="s">
        <v>595</v>
      </c>
      <c r="J1123" s="6" t="s">
        <v>2045</v>
      </c>
      <c r="K1123" s="6" t="n">
        <v>6</v>
      </c>
      <c r="L1123" s="7" t="s">
        <v>2261</v>
      </c>
      <c r="M1123" s="6" t="n">
        <v>1</v>
      </c>
      <c r="N1123" s="7" t="s">
        <v>24</v>
      </c>
    </row>
    <row r="1124" customFormat="false" ht="29.85" hidden="false" customHeight="false" outlineLevel="0" collapsed="false">
      <c r="A1124" s="6" t="n">
        <v>1123</v>
      </c>
      <c r="B1124" s="7" t="s">
        <v>522</v>
      </c>
      <c r="C1124" s="7" t="s">
        <v>2258</v>
      </c>
      <c r="D1124" s="8" t="s">
        <v>2262</v>
      </c>
      <c r="E1124" s="7" t="s">
        <v>2263</v>
      </c>
      <c r="F1124" s="6" t="s">
        <v>760</v>
      </c>
      <c r="G1124" s="7" t="s">
        <v>27</v>
      </c>
      <c r="H1124" s="7" t="s">
        <v>20</v>
      </c>
      <c r="I1124" s="7" t="s">
        <v>254</v>
      </c>
      <c r="J1124" s="6" t="s">
        <v>2045</v>
      </c>
      <c r="K1124" s="6" t="n">
        <v>6</v>
      </c>
      <c r="L1124" s="7" t="s">
        <v>2261</v>
      </c>
      <c r="M1124" s="6" t="n">
        <v>2</v>
      </c>
      <c r="N1124" s="7" t="s">
        <v>24</v>
      </c>
    </row>
    <row r="1125" customFormat="false" ht="29.85" hidden="false" customHeight="false" outlineLevel="0" collapsed="false">
      <c r="A1125" s="6" t="n">
        <v>1124</v>
      </c>
      <c r="B1125" s="7" t="s">
        <v>522</v>
      </c>
      <c r="C1125" s="7" t="s">
        <v>2258</v>
      </c>
      <c r="D1125" s="8" t="s">
        <v>2264</v>
      </c>
      <c r="E1125" s="7" t="s">
        <v>2263</v>
      </c>
      <c r="F1125" s="6" t="s">
        <v>760</v>
      </c>
      <c r="G1125" s="7" t="s">
        <v>27</v>
      </c>
      <c r="H1125" s="7" t="s">
        <v>38</v>
      </c>
      <c r="I1125" s="7" t="s">
        <v>565</v>
      </c>
      <c r="J1125" s="6" t="s">
        <v>2045</v>
      </c>
      <c r="K1125" s="6" t="n">
        <v>6</v>
      </c>
      <c r="L1125" s="7" t="s">
        <v>2261</v>
      </c>
      <c r="M1125" s="6" t="n">
        <v>3</v>
      </c>
      <c r="N1125" s="7" t="s">
        <v>40</v>
      </c>
    </row>
    <row r="1126" customFormat="false" ht="29.85" hidden="false" customHeight="false" outlineLevel="0" collapsed="false">
      <c r="A1126" s="6" t="n">
        <v>1125</v>
      </c>
      <c r="B1126" s="7" t="s">
        <v>522</v>
      </c>
      <c r="C1126" s="7" t="s">
        <v>2258</v>
      </c>
      <c r="D1126" s="8" t="s">
        <v>2265</v>
      </c>
      <c r="E1126" s="7" t="s">
        <v>2260</v>
      </c>
      <c r="F1126" s="6" t="s">
        <v>760</v>
      </c>
      <c r="G1126" s="7" t="s">
        <v>27</v>
      </c>
      <c r="H1126" s="7" t="s">
        <v>38</v>
      </c>
      <c r="I1126" s="7" t="s">
        <v>163</v>
      </c>
      <c r="J1126" s="6" t="s">
        <v>2045</v>
      </c>
      <c r="K1126" s="6" t="n">
        <v>6</v>
      </c>
      <c r="L1126" s="7" t="s">
        <v>2261</v>
      </c>
      <c r="M1126" s="6" t="n">
        <v>4</v>
      </c>
      <c r="N1126" s="7" t="s">
        <v>40</v>
      </c>
    </row>
    <row r="1127" customFormat="false" ht="29.85" hidden="false" customHeight="false" outlineLevel="0" collapsed="false">
      <c r="A1127" s="6" t="n">
        <v>1126</v>
      </c>
      <c r="B1127" s="7" t="s">
        <v>522</v>
      </c>
      <c r="C1127" s="7" t="s">
        <v>2258</v>
      </c>
      <c r="D1127" s="8" t="s">
        <v>2266</v>
      </c>
      <c r="E1127" s="7" t="s">
        <v>2267</v>
      </c>
      <c r="F1127" s="6" t="s">
        <v>760</v>
      </c>
      <c r="G1127" s="7" t="s">
        <v>27</v>
      </c>
      <c r="H1127" s="7" t="s">
        <v>38</v>
      </c>
      <c r="I1127" s="7" t="s">
        <v>123</v>
      </c>
      <c r="J1127" s="6" t="s">
        <v>2045</v>
      </c>
      <c r="K1127" s="6" t="n">
        <v>6</v>
      </c>
      <c r="L1127" s="7" t="s">
        <v>2261</v>
      </c>
      <c r="M1127" s="6" t="n">
        <v>5</v>
      </c>
      <c r="N1127" s="7" t="s">
        <v>40</v>
      </c>
    </row>
    <row r="1128" customFormat="false" ht="44" hidden="false" customHeight="false" outlineLevel="0" collapsed="false">
      <c r="A1128" s="6" t="n">
        <v>1127</v>
      </c>
      <c r="B1128" s="7" t="s">
        <v>522</v>
      </c>
      <c r="C1128" s="7" t="s">
        <v>2258</v>
      </c>
      <c r="D1128" s="8" t="s">
        <v>2268</v>
      </c>
      <c r="E1128" s="7" t="s">
        <v>2269</v>
      </c>
      <c r="F1128" s="6" t="s">
        <v>760</v>
      </c>
      <c r="G1128" s="7" t="s">
        <v>27</v>
      </c>
      <c r="H1128" s="7" t="s">
        <v>38</v>
      </c>
      <c r="I1128" s="7" t="s">
        <v>57</v>
      </c>
      <c r="J1128" s="6" t="s">
        <v>2045</v>
      </c>
      <c r="K1128" s="6" t="n">
        <v>6</v>
      </c>
      <c r="L1128" s="7" t="s">
        <v>2261</v>
      </c>
      <c r="M1128" s="6" t="n">
        <v>6</v>
      </c>
      <c r="N1128" s="7" t="s">
        <v>40</v>
      </c>
    </row>
    <row r="1129" customFormat="false" ht="44" hidden="false" customHeight="false" outlineLevel="0" collapsed="false">
      <c r="A1129" s="6" t="n">
        <v>1128</v>
      </c>
      <c r="B1129" s="7" t="s">
        <v>522</v>
      </c>
      <c r="C1129" s="7" t="s">
        <v>2258</v>
      </c>
      <c r="D1129" s="8" t="s">
        <v>2270</v>
      </c>
      <c r="E1129" s="7" t="s">
        <v>2263</v>
      </c>
      <c r="F1129" s="6" t="s">
        <v>760</v>
      </c>
      <c r="G1129" s="7" t="s">
        <v>27</v>
      </c>
      <c r="H1129" s="7" t="s">
        <v>38</v>
      </c>
      <c r="I1129" s="7" t="s">
        <v>2228</v>
      </c>
      <c r="J1129" s="6" t="s">
        <v>2045</v>
      </c>
      <c r="K1129" s="6" t="n">
        <v>6</v>
      </c>
      <c r="L1129" s="7" t="s">
        <v>2261</v>
      </c>
      <c r="M1129" s="6" t="n">
        <v>7</v>
      </c>
      <c r="N1129" s="7" t="s">
        <v>40</v>
      </c>
    </row>
    <row r="1130" customFormat="false" ht="58.2" hidden="false" customHeight="false" outlineLevel="0" collapsed="false">
      <c r="A1130" s="6" t="n">
        <v>1129</v>
      </c>
      <c r="B1130" s="7" t="s">
        <v>522</v>
      </c>
      <c r="C1130" s="7" t="s">
        <v>2258</v>
      </c>
      <c r="D1130" s="8" t="s">
        <v>2271</v>
      </c>
      <c r="E1130" s="7" t="s">
        <v>2272</v>
      </c>
      <c r="F1130" s="6" t="s">
        <v>760</v>
      </c>
      <c r="G1130" s="7" t="s">
        <v>27</v>
      </c>
      <c r="H1130" s="7" t="s">
        <v>38</v>
      </c>
      <c r="I1130" s="7" t="s">
        <v>2273</v>
      </c>
      <c r="J1130" s="6" t="s">
        <v>2045</v>
      </c>
      <c r="K1130" s="6" t="n">
        <v>6</v>
      </c>
      <c r="L1130" s="7" t="s">
        <v>2261</v>
      </c>
      <c r="M1130" s="6" t="n">
        <v>8</v>
      </c>
      <c r="N1130" s="7" t="s">
        <v>40</v>
      </c>
    </row>
    <row r="1131" customFormat="false" ht="29.85" hidden="false" customHeight="false" outlineLevel="0" collapsed="false">
      <c r="A1131" s="6" t="n">
        <v>1130</v>
      </c>
      <c r="B1131" s="7" t="s">
        <v>522</v>
      </c>
      <c r="C1131" s="7" t="s">
        <v>2274</v>
      </c>
      <c r="D1131" s="8" t="s">
        <v>2275</v>
      </c>
      <c r="E1131" s="7" t="s">
        <v>2172</v>
      </c>
      <c r="F1131" s="6" t="s">
        <v>760</v>
      </c>
      <c r="G1131" s="7" t="s">
        <v>27</v>
      </c>
      <c r="H1131" s="7" t="s">
        <v>20</v>
      </c>
      <c r="I1131" s="7" t="s">
        <v>49</v>
      </c>
      <c r="J1131" s="6" t="s">
        <v>2045</v>
      </c>
      <c r="K1131" s="6" t="n">
        <v>7</v>
      </c>
      <c r="L1131" s="7" t="s">
        <v>2276</v>
      </c>
      <c r="M1131" s="6" t="n">
        <v>1</v>
      </c>
      <c r="N1131" s="7" t="s">
        <v>24</v>
      </c>
    </row>
  </sheetData>
  <autoFilter ref="A1:N1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15" hidden="false" customHeight="false" outlineLevel="0" collapsed="false">
      <c r="A1" s="2" t="s">
        <v>9</v>
      </c>
      <c r="B1" s="1" t="s">
        <v>2277</v>
      </c>
      <c r="C1" s="1" t="s">
        <v>10</v>
      </c>
      <c r="D1" s="1" t="s">
        <v>11</v>
      </c>
      <c r="E1" s="1" t="s">
        <v>2278</v>
      </c>
      <c r="F1" s="1" t="s">
        <v>24</v>
      </c>
      <c r="G1" s="1" t="s">
        <v>40</v>
      </c>
      <c r="H1" s="1" t="s">
        <v>2279</v>
      </c>
    </row>
    <row r="2" customFormat="false" ht="15" hidden="false" customHeight="false" outlineLevel="0" collapsed="false">
      <c r="A2" s="12" t="s">
        <v>22</v>
      </c>
      <c r="B2" s="13" t="s">
        <v>2280</v>
      </c>
      <c r="C2" s="12" t="n">
        <v>1</v>
      </c>
      <c r="D2" s="13" t="s">
        <v>23</v>
      </c>
      <c r="E2" s="12" t="n">
        <f aca="false">COUNTIFS(분류!$J$2:$J$1131,A2,분류!$L$2:$L$1131,D2)</f>
        <v>12</v>
      </c>
      <c r="F2" s="12" t="n">
        <f aca="false">COUNTIFS(분류!$J$2:$J$1131,A2,분류!$L$2:$L$1131,D2,분류!$N$2:$N$1131,"쉬움")</f>
        <v>8</v>
      </c>
      <c r="G2" s="12" t="n">
        <f aca="false">COUNTIFS(분류!$J$2:$J$1131,A2,분류!$L$2:$L$1131,D2,분류!$N$2:$N$1131,"어려움")</f>
        <v>4</v>
      </c>
      <c r="H2" s="14" t="n">
        <f aca="false">IF(E2=0,"",F2/E2)</f>
        <v>0.666666666666667</v>
      </c>
    </row>
    <row r="3" customFormat="false" ht="15" hidden="false" customHeight="false" outlineLevel="0" collapsed="false">
      <c r="A3" s="12" t="s">
        <v>22</v>
      </c>
      <c r="B3" s="13" t="s">
        <v>2280</v>
      </c>
      <c r="C3" s="12" t="n">
        <v>2</v>
      </c>
      <c r="D3" s="13" t="s">
        <v>62</v>
      </c>
      <c r="E3" s="12" t="n">
        <f aca="false">COUNTIFS(분류!$J$2:$J$1131,A3,분류!$L$2:$L$1131,D3)</f>
        <v>30</v>
      </c>
      <c r="F3" s="12" t="n">
        <f aca="false">COUNTIFS(분류!$J$2:$J$1131,A3,분류!$L$2:$L$1131,D3,분류!$N$2:$N$1131,"쉬움")</f>
        <v>20</v>
      </c>
      <c r="G3" s="12" t="n">
        <f aca="false">COUNTIFS(분류!$J$2:$J$1131,A3,분류!$L$2:$L$1131,D3,분류!$N$2:$N$1131,"어려움")</f>
        <v>10</v>
      </c>
      <c r="H3" s="14" t="n">
        <f aca="false">IF(E3=0,"",F3/E3)</f>
        <v>0.666666666666667</v>
      </c>
    </row>
    <row r="4" customFormat="false" ht="15" hidden="false" customHeight="false" outlineLevel="0" collapsed="false">
      <c r="A4" s="12" t="s">
        <v>22</v>
      </c>
      <c r="B4" s="13" t="s">
        <v>2280</v>
      </c>
      <c r="C4" s="12" t="n">
        <v>3</v>
      </c>
      <c r="D4" s="13" t="s">
        <v>136</v>
      </c>
      <c r="E4" s="12" t="n">
        <f aca="false">COUNTIFS(분류!$J$2:$J$1131,A4,분류!$L$2:$L$1131,D4)</f>
        <v>15</v>
      </c>
      <c r="F4" s="12" t="n">
        <f aca="false">COUNTIFS(분류!$J$2:$J$1131,A4,분류!$L$2:$L$1131,D4,분류!$N$2:$N$1131,"쉬움")</f>
        <v>10</v>
      </c>
      <c r="G4" s="12" t="n">
        <f aca="false">COUNTIFS(분류!$J$2:$J$1131,A4,분류!$L$2:$L$1131,D4,분류!$N$2:$N$1131,"어려움")</f>
        <v>5</v>
      </c>
      <c r="H4" s="14" t="n">
        <f aca="false">IF(E4=0,"",F4/E4)</f>
        <v>0.666666666666667</v>
      </c>
    </row>
    <row r="5" customFormat="false" ht="15" hidden="false" customHeight="false" outlineLevel="0" collapsed="false">
      <c r="A5" s="12" t="s">
        <v>22</v>
      </c>
      <c r="B5" s="13" t="s">
        <v>2280</v>
      </c>
      <c r="C5" s="12" t="n">
        <v>4</v>
      </c>
      <c r="D5" s="13" t="s">
        <v>169</v>
      </c>
      <c r="E5" s="12" t="n">
        <f aca="false">COUNTIFS(분류!$J$2:$J$1131,A5,분류!$L$2:$L$1131,D5)</f>
        <v>2</v>
      </c>
      <c r="F5" s="12" t="n">
        <f aca="false">COUNTIFS(분류!$J$2:$J$1131,A5,분류!$L$2:$L$1131,D5,분류!$N$2:$N$1131,"쉬움")</f>
        <v>2</v>
      </c>
      <c r="G5" s="12" t="n">
        <f aca="false">COUNTIFS(분류!$J$2:$J$1131,A5,분류!$L$2:$L$1131,D5,분류!$N$2:$N$1131,"어려움")</f>
        <v>0</v>
      </c>
      <c r="H5" s="14" t="n">
        <f aca="false">IF(E5=0,"",F5/E5)</f>
        <v>1</v>
      </c>
    </row>
    <row r="6" customFormat="false" ht="15" hidden="false" customHeight="false" outlineLevel="0" collapsed="false">
      <c r="A6" s="12" t="s">
        <v>22</v>
      </c>
      <c r="B6" s="13" t="s">
        <v>2280</v>
      </c>
      <c r="C6" s="12" t="n">
        <v>5</v>
      </c>
      <c r="D6" s="13" t="s">
        <v>177</v>
      </c>
      <c r="E6" s="12" t="n">
        <f aca="false">COUNTIFS(분류!$J$2:$J$1131,A6,분류!$L$2:$L$1131,D6)</f>
        <v>15</v>
      </c>
      <c r="F6" s="12" t="n">
        <f aca="false">COUNTIFS(분류!$J$2:$J$1131,A6,분류!$L$2:$L$1131,D6,분류!$N$2:$N$1131,"쉬움")</f>
        <v>12</v>
      </c>
      <c r="G6" s="12" t="n">
        <f aca="false">COUNTIFS(분류!$J$2:$J$1131,A6,분류!$L$2:$L$1131,D6,분류!$N$2:$N$1131,"어려움")</f>
        <v>3</v>
      </c>
      <c r="H6" s="14" t="n">
        <f aca="false">IF(E6=0,"",F6/E6)</f>
        <v>0.8</v>
      </c>
    </row>
    <row r="7" customFormat="false" ht="15" hidden="false" customHeight="false" outlineLevel="0" collapsed="false">
      <c r="A7" s="12" t="s">
        <v>22</v>
      </c>
      <c r="B7" s="13" t="s">
        <v>2280</v>
      </c>
      <c r="C7" s="12" t="n">
        <v>6</v>
      </c>
      <c r="D7" s="13" t="s">
        <v>211</v>
      </c>
      <c r="E7" s="12" t="n">
        <f aca="false">COUNTIFS(분류!$J$2:$J$1131,A7,분류!$L$2:$L$1131,D7)</f>
        <v>55</v>
      </c>
      <c r="F7" s="12" t="n">
        <f aca="false">COUNTIFS(분류!$J$2:$J$1131,A7,분류!$L$2:$L$1131,D7,분류!$N$2:$N$1131,"쉬움")</f>
        <v>35</v>
      </c>
      <c r="G7" s="12" t="n">
        <f aca="false">COUNTIFS(분류!$J$2:$J$1131,A7,분류!$L$2:$L$1131,D7,분류!$N$2:$N$1131,"어려움")</f>
        <v>20</v>
      </c>
      <c r="H7" s="14" t="n">
        <f aca="false">IF(E7=0,"",F7/E7)</f>
        <v>0.636363636363636</v>
      </c>
    </row>
    <row r="8" customFormat="false" ht="15" hidden="false" customHeight="false" outlineLevel="0" collapsed="false">
      <c r="A8" s="12" t="s">
        <v>22</v>
      </c>
      <c r="B8" s="13" t="s">
        <v>2280</v>
      </c>
      <c r="C8" s="12" t="n">
        <v>7</v>
      </c>
      <c r="D8" s="13" t="s">
        <v>328</v>
      </c>
      <c r="E8" s="12" t="n">
        <f aca="false">COUNTIFS(분류!$J$2:$J$1131,A8,분류!$L$2:$L$1131,D8)</f>
        <v>28</v>
      </c>
      <c r="F8" s="12" t="n">
        <f aca="false">COUNTIFS(분류!$J$2:$J$1131,A8,분류!$L$2:$L$1131,D8,분류!$N$2:$N$1131,"쉬움")</f>
        <v>8</v>
      </c>
      <c r="G8" s="12" t="n">
        <f aca="false">COUNTIFS(분류!$J$2:$J$1131,A8,분류!$L$2:$L$1131,D8,분류!$N$2:$N$1131,"어려움")</f>
        <v>20</v>
      </c>
      <c r="H8" s="14" t="n">
        <f aca="false">IF(E8=0,"",F8/E8)</f>
        <v>0.285714285714286</v>
      </c>
    </row>
    <row r="9" customFormat="false" ht="15" hidden="false" customHeight="false" outlineLevel="0" collapsed="false">
      <c r="A9" s="12" t="s">
        <v>22</v>
      </c>
      <c r="B9" s="13" t="s">
        <v>2280</v>
      </c>
      <c r="C9" s="12" t="n">
        <v>8</v>
      </c>
      <c r="D9" s="13" t="s">
        <v>394</v>
      </c>
      <c r="E9" s="12" t="n">
        <f aca="false">COUNTIFS(분류!$J$2:$J$1131,A9,분류!$L$2:$L$1131,D9)</f>
        <v>18</v>
      </c>
      <c r="F9" s="12" t="n">
        <f aca="false">COUNTIFS(분류!$J$2:$J$1131,A9,분류!$L$2:$L$1131,D9,분류!$N$2:$N$1131,"쉬움")</f>
        <v>3</v>
      </c>
      <c r="G9" s="12" t="n">
        <f aca="false">COUNTIFS(분류!$J$2:$J$1131,A9,분류!$L$2:$L$1131,D9,분류!$N$2:$N$1131,"어려움")</f>
        <v>15</v>
      </c>
      <c r="H9" s="14" t="n">
        <f aca="false">IF(E9=0,"",F9/E9)</f>
        <v>0.166666666666667</v>
      </c>
    </row>
    <row r="10" customFormat="false" ht="15" hidden="false" customHeight="false" outlineLevel="0" collapsed="false">
      <c r="A10" s="12" t="s">
        <v>22</v>
      </c>
      <c r="B10" s="13" t="s">
        <v>2280</v>
      </c>
      <c r="C10" s="12" t="n">
        <v>9</v>
      </c>
      <c r="D10" s="13" t="s">
        <v>437</v>
      </c>
      <c r="E10" s="12" t="n">
        <f aca="false">COUNTIFS(분류!$J$2:$J$1131,A10,분류!$L$2:$L$1131,D10)</f>
        <v>1</v>
      </c>
      <c r="F10" s="12" t="n">
        <f aca="false">COUNTIFS(분류!$J$2:$J$1131,A10,분류!$L$2:$L$1131,D10,분류!$N$2:$N$1131,"쉬움")</f>
        <v>0</v>
      </c>
      <c r="G10" s="12" t="n">
        <f aca="false">COUNTIFS(분류!$J$2:$J$1131,A10,분류!$L$2:$L$1131,D10,분류!$N$2:$N$1131,"어려움")</f>
        <v>1</v>
      </c>
      <c r="H10" s="14" t="n">
        <f aca="false">IF(E10=0,"",F10/E10)</f>
        <v>0</v>
      </c>
    </row>
    <row r="11" customFormat="false" ht="15" hidden="false" customHeight="false" outlineLevel="0" collapsed="false">
      <c r="A11" s="12" t="s">
        <v>22</v>
      </c>
      <c r="B11" s="13" t="s">
        <v>2280</v>
      </c>
      <c r="C11" s="12" t="n">
        <v>10</v>
      </c>
      <c r="D11" s="13" t="s">
        <v>442</v>
      </c>
      <c r="E11" s="12" t="n">
        <f aca="false">COUNTIFS(분류!$J$2:$J$1131,A11,분류!$L$2:$L$1131,D11)</f>
        <v>18</v>
      </c>
      <c r="F11" s="12" t="n">
        <f aca="false">COUNTIFS(분류!$J$2:$J$1131,A11,분류!$L$2:$L$1131,D11,분류!$N$2:$N$1131,"쉬움")</f>
        <v>10</v>
      </c>
      <c r="G11" s="12" t="n">
        <f aca="false">COUNTIFS(분류!$J$2:$J$1131,A11,분류!$L$2:$L$1131,D11,분류!$N$2:$N$1131,"어려움")</f>
        <v>8</v>
      </c>
      <c r="H11" s="14" t="n">
        <f aca="false">IF(E11=0,"",F11/E11)</f>
        <v>0.555555555555556</v>
      </c>
    </row>
    <row r="12" customFormat="false" ht="15" hidden="false" customHeight="false" outlineLevel="0" collapsed="false">
      <c r="A12" s="12" t="s">
        <v>22</v>
      </c>
      <c r="B12" s="13" t="s">
        <v>2280</v>
      </c>
      <c r="C12" s="12" t="n">
        <v>11</v>
      </c>
      <c r="D12" s="13" t="s">
        <v>477</v>
      </c>
      <c r="E12" s="12" t="n">
        <f aca="false">COUNTIFS(분류!$J$2:$J$1131,A12,분류!$L$2:$L$1131,D12)</f>
        <v>21</v>
      </c>
      <c r="F12" s="12" t="n">
        <f aca="false">COUNTIFS(분류!$J$2:$J$1131,A12,분류!$L$2:$L$1131,D12,분류!$N$2:$N$1131,"쉬움")</f>
        <v>8</v>
      </c>
      <c r="G12" s="12" t="n">
        <f aca="false">COUNTIFS(분류!$J$2:$J$1131,A12,분류!$L$2:$L$1131,D12,분류!$N$2:$N$1131,"어려움")</f>
        <v>13</v>
      </c>
      <c r="H12" s="14" t="n">
        <f aca="false">IF(E12=0,"",F12/E12)</f>
        <v>0.380952380952381</v>
      </c>
    </row>
    <row r="13" customFormat="false" ht="15" hidden="false" customHeight="false" outlineLevel="0" collapsed="false">
      <c r="A13" s="12" t="s">
        <v>528</v>
      </c>
      <c r="B13" s="13" t="s">
        <v>2281</v>
      </c>
      <c r="C13" s="12" t="n">
        <v>1</v>
      </c>
      <c r="D13" s="13" t="s">
        <v>529</v>
      </c>
      <c r="E13" s="12" t="n">
        <f aca="false">COUNTIFS(분류!$J$2:$J$1131,A13,분류!$L$2:$L$1131,D13)</f>
        <v>18</v>
      </c>
      <c r="F13" s="12" t="n">
        <f aca="false">COUNTIFS(분류!$J$2:$J$1131,A13,분류!$L$2:$L$1131,D13,분류!$N$2:$N$1131,"쉬움")</f>
        <v>14</v>
      </c>
      <c r="G13" s="12" t="n">
        <f aca="false">COUNTIFS(분류!$J$2:$J$1131,A13,분류!$L$2:$L$1131,D13,분류!$N$2:$N$1131,"어려움")</f>
        <v>4</v>
      </c>
      <c r="H13" s="14" t="n">
        <f aca="false">IF(E13=0,"",F13/E13)</f>
        <v>0.777777777777778</v>
      </c>
    </row>
    <row r="14" customFormat="false" ht="15" hidden="false" customHeight="false" outlineLevel="0" collapsed="false">
      <c r="A14" s="12" t="s">
        <v>528</v>
      </c>
      <c r="B14" s="13" t="s">
        <v>2281</v>
      </c>
      <c r="C14" s="12" t="n">
        <v>2</v>
      </c>
      <c r="D14" s="13" t="s">
        <v>570</v>
      </c>
      <c r="E14" s="12" t="n">
        <f aca="false">COUNTIFS(분류!$J$2:$J$1131,A14,분류!$L$2:$L$1131,D14)</f>
        <v>12</v>
      </c>
      <c r="F14" s="12" t="n">
        <f aca="false">COUNTIFS(분류!$J$2:$J$1131,A14,분류!$L$2:$L$1131,D14,분류!$N$2:$N$1131,"쉬움")</f>
        <v>6</v>
      </c>
      <c r="G14" s="12" t="n">
        <f aca="false">COUNTIFS(분류!$J$2:$J$1131,A14,분류!$L$2:$L$1131,D14,분류!$N$2:$N$1131,"어려움")</f>
        <v>6</v>
      </c>
      <c r="H14" s="14" t="n">
        <f aca="false">IF(E14=0,"",F14/E14)</f>
        <v>0.5</v>
      </c>
    </row>
    <row r="15" customFormat="false" ht="15" hidden="false" customHeight="false" outlineLevel="0" collapsed="false">
      <c r="A15" s="12" t="s">
        <v>528</v>
      </c>
      <c r="B15" s="13" t="s">
        <v>2281</v>
      </c>
      <c r="C15" s="12" t="n">
        <v>3</v>
      </c>
      <c r="D15" s="13" t="s">
        <v>596</v>
      </c>
      <c r="E15" s="12" t="n">
        <f aca="false">COUNTIFS(분류!$J$2:$J$1131,A15,분류!$L$2:$L$1131,D15)</f>
        <v>26</v>
      </c>
      <c r="F15" s="12" t="n">
        <f aca="false">COUNTIFS(분류!$J$2:$J$1131,A15,분류!$L$2:$L$1131,D15,분류!$N$2:$N$1131,"쉬움")</f>
        <v>17</v>
      </c>
      <c r="G15" s="12" t="n">
        <f aca="false">COUNTIFS(분류!$J$2:$J$1131,A15,분류!$L$2:$L$1131,D15,분류!$N$2:$N$1131,"어려움")</f>
        <v>9</v>
      </c>
      <c r="H15" s="14" t="n">
        <f aca="false">IF(E15=0,"",F15/E15)</f>
        <v>0.653846153846154</v>
      </c>
    </row>
    <row r="16" customFormat="false" ht="15" hidden="false" customHeight="false" outlineLevel="0" collapsed="false">
      <c r="A16" s="12" t="s">
        <v>528</v>
      </c>
      <c r="B16" s="13" t="s">
        <v>2281</v>
      </c>
      <c r="C16" s="12" t="n">
        <v>4</v>
      </c>
      <c r="D16" s="13" t="s">
        <v>649</v>
      </c>
      <c r="E16" s="12" t="n">
        <f aca="false">COUNTIFS(분류!$J$2:$J$1131,A16,분류!$L$2:$L$1131,D16)</f>
        <v>5</v>
      </c>
      <c r="F16" s="12" t="n">
        <f aca="false">COUNTIFS(분류!$J$2:$J$1131,A16,분류!$L$2:$L$1131,D16,분류!$N$2:$N$1131,"쉬움")</f>
        <v>2</v>
      </c>
      <c r="G16" s="12" t="n">
        <f aca="false">COUNTIFS(분류!$J$2:$J$1131,A16,분류!$L$2:$L$1131,D16,분류!$N$2:$N$1131,"어려움")</f>
        <v>3</v>
      </c>
      <c r="H16" s="14" t="n">
        <f aca="false">IF(E16=0,"",F16/E16)</f>
        <v>0.4</v>
      </c>
    </row>
    <row r="17" customFormat="false" ht="15" hidden="false" customHeight="false" outlineLevel="0" collapsed="false">
      <c r="A17" s="12" t="s">
        <v>528</v>
      </c>
      <c r="B17" s="13" t="s">
        <v>2281</v>
      </c>
      <c r="C17" s="12" t="n">
        <v>5</v>
      </c>
      <c r="D17" s="13" t="s">
        <v>660</v>
      </c>
      <c r="E17" s="12" t="n">
        <f aca="false">COUNTIFS(분류!$J$2:$J$1131,A17,분류!$L$2:$L$1131,D17)</f>
        <v>16</v>
      </c>
      <c r="F17" s="12" t="n">
        <f aca="false">COUNTIFS(분류!$J$2:$J$1131,A17,분류!$L$2:$L$1131,D17,분류!$N$2:$N$1131,"쉬움")</f>
        <v>8</v>
      </c>
      <c r="G17" s="12" t="n">
        <f aca="false">COUNTIFS(분류!$J$2:$J$1131,A17,분류!$L$2:$L$1131,D17,분류!$N$2:$N$1131,"어려움")</f>
        <v>8</v>
      </c>
      <c r="H17" s="14" t="n">
        <f aca="false">IF(E17=0,"",F17/E17)</f>
        <v>0.5</v>
      </c>
    </row>
    <row r="18" customFormat="false" ht="15" hidden="false" customHeight="false" outlineLevel="0" collapsed="false">
      <c r="A18" s="12" t="s">
        <v>528</v>
      </c>
      <c r="B18" s="13" t="s">
        <v>2281</v>
      </c>
      <c r="C18" s="12" t="n">
        <v>6</v>
      </c>
      <c r="D18" s="13" t="s">
        <v>692</v>
      </c>
      <c r="E18" s="12" t="n">
        <f aca="false">COUNTIFS(분류!$J$2:$J$1131,A18,분류!$L$2:$L$1131,D18)</f>
        <v>27</v>
      </c>
      <c r="F18" s="12" t="n">
        <f aca="false">COUNTIFS(분류!$J$2:$J$1131,A18,분류!$L$2:$L$1131,D18,분류!$N$2:$N$1131,"쉬움")</f>
        <v>13</v>
      </c>
      <c r="G18" s="12" t="n">
        <f aca="false">COUNTIFS(분류!$J$2:$J$1131,A18,분류!$L$2:$L$1131,D18,분류!$N$2:$N$1131,"어려움")</f>
        <v>14</v>
      </c>
      <c r="H18" s="14" t="n">
        <f aca="false">IF(E18=0,"",F18/E18)</f>
        <v>0.481481481481481</v>
      </c>
    </row>
    <row r="19" customFormat="false" ht="15" hidden="false" customHeight="false" outlineLevel="0" collapsed="false">
      <c r="A19" s="12" t="s">
        <v>528</v>
      </c>
      <c r="B19" s="13" t="s">
        <v>2281</v>
      </c>
      <c r="C19" s="12" t="n">
        <v>7</v>
      </c>
      <c r="D19" s="13" t="s">
        <v>743</v>
      </c>
      <c r="E19" s="12" t="n">
        <f aca="false">COUNTIFS(분류!$J$2:$J$1131,A19,분류!$L$2:$L$1131,D19)</f>
        <v>89</v>
      </c>
      <c r="F19" s="12" t="n">
        <f aca="false">COUNTIFS(분류!$J$2:$J$1131,A19,분류!$L$2:$L$1131,D19,분류!$N$2:$N$1131,"쉬움")</f>
        <v>41</v>
      </c>
      <c r="G19" s="12" t="n">
        <f aca="false">COUNTIFS(분류!$J$2:$J$1131,A19,분류!$L$2:$L$1131,D19,분류!$N$2:$N$1131,"어려움")</f>
        <v>48</v>
      </c>
      <c r="H19" s="14" t="n">
        <f aca="false">IF(E19=0,"",F19/E19)</f>
        <v>0.460674157303371</v>
      </c>
    </row>
    <row r="20" customFormat="false" ht="15" hidden="false" customHeight="false" outlineLevel="0" collapsed="false">
      <c r="A20" s="12" t="s">
        <v>528</v>
      </c>
      <c r="B20" s="13" t="s">
        <v>2281</v>
      </c>
      <c r="C20" s="12" t="n">
        <v>8</v>
      </c>
      <c r="D20" s="13" t="s">
        <v>928</v>
      </c>
      <c r="E20" s="12" t="n">
        <f aca="false">COUNTIFS(분류!$J$2:$J$1131,A20,분류!$L$2:$L$1131,D20)</f>
        <v>28</v>
      </c>
      <c r="F20" s="12" t="n">
        <f aca="false">COUNTIFS(분류!$J$2:$J$1131,A20,분류!$L$2:$L$1131,D20,분류!$N$2:$N$1131,"쉬움")</f>
        <v>14</v>
      </c>
      <c r="G20" s="12" t="n">
        <f aca="false">COUNTIFS(분류!$J$2:$J$1131,A20,분류!$L$2:$L$1131,D20,분류!$N$2:$N$1131,"어려움")</f>
        <v>14</v>
      </c>
      <c r="H20" s="14" t="n">
        <f aca="false">IF(E20=0,"",F20/E20)</f>
        <v>0.5</v>
      </c>
    </row>
    <row r="21" customFormat="false" ht="15" hidden="false" customHeight="false" outlineLevel="0" collapsed="false">
      <c r="A21" s="12" t="s">
        <v>528</v>
      </c>
      <c r="B21" s="13" t="s">
        <v>2281</v>
      </c>
      <c r="C21" s="12" t="n">
        <v>9</v>
      </c>
      <c r="D21" s="13" t="s">
        <v>989</v>
      </c>
      <c r="E21" s="12" t="n">
        <f aca="false">COUNTIFS(분류!$J$2:$J$1131,A21,분류!$L$2:$L$1131,D21)</f>
        <v>16</v>
      </c>
      <c r="F21" s="12" t="n">
        <f aca="false">COUNTIFS(분류!$J$2:$J$1131,A21,분류!$L$2:$L$1131,D21,분류!$N$2:$N$1131,"쉬움")</f>
        <v>8</v>
      </c>
      <c r="G21" s="12" t="n">
        <f aca="false">COUNTIFS(분류!$J$2:$J$1131,A21,분류!$L$2:$L$1131,D21,분류!$N$2:$N$1131,"어려움")</f>
        <v>8</v>
      </c>
      <c r="H21" s="14" t="n">
        <f aca="false">IF(E21=0,"",F21/E21)</f>
        <v>0.5</v>
      </c>
    </row>
    <row r="22" customFormat="false" ht="15" hidden="false" customHeight="false" outlineLevel="0" collapsed="false">
      <c r="A22" s="12" t="s">
        <v>528</v>
      </c>
      <c r="B22" s="13" t="s">
        <v>2281</v>
      </c>
      <c r="C22" s="12" t="n">
        <v>10</v>
      </c>
      <c r="D22" s="13" t="s">
        <v>1018</v>
      </c>
      <c r="E22" s="12" t="n">
        <f aca="false">COUNTIFS(분류!$J$2:$J$1131,A22,분류!$L$2:$L$1131,D22)</f>
        <v>21</v>
      </c>
      <c r="F22" s="12" t="n">
        <f aca="false">COUNTIFS(분류!$J$2:$J$1131,A22,분류!$L$2:$L$1131,D22,분류!$N$2:$N$1131,"쉬움")</f>
        <v>9</v>
      </c>
      <c r="G22" s="12" t="n">
        <f aca="false">COUNTIFS(분류!$J$2:$J$1131,A22,분류!$L$2:$L$1131,D22,분류!$N$2:$N$1131,"어려움")</f>
        <v>12</v>
      </c>
      <c r="H22" s="14" t="n">
        <f aca="false">IF(E22=0,"",F22/E22)</f>
        <v>0.428571428571429</v>
      </c>
    </row>
    <row r="23" customFormat="false" ht="15" hidden="false" customHeight="false" outlineLevel="0" collapsed="false">
      <c r="A23" s="12" t="s">
        <v>528</v>
      </c>
      <c r="B23" s="13" t="s">
        <v>2281</v>
      </c>
      <c r="C23" s="12" t="n">
        <v>11</v>
      </c>
      <c r="D23" s="13" t="s">
        <v>1063</v>
      </c>
      <c r="E23" s="12" t="n">
        <f aca="false">COUNTIFS(분류!$J$2:$J$1131,A23,분류!$L$2:$L$1131,D23)</f>
        <v>7</v>
      </c>
      <c r="F23" s="12" t="n">
        <f aca="false">COUNTIFS(분류!$J$2:$J$1131,A23,분류!$L$2:$L$1131,D23,분류!$N$2:$N$1131,"쉬움")</f>
        <v>4</v>
      </c>
      <c r="G23" s="12" t="n">
        <f aca="false">COUNTIFS(분류!$J$2:$J$1131,A23,분류!$L$2:$L$1131,D23,분류!$N$2:$N$1131,"어려움")</f>
        <v>3</v>
      </c>
      <c r="H23" s="14" t="n">
        <f aca="false">IF(E23=0,"",F23/E23)</f>
        <v>0.571428571428571</v>
      </c>
    </row>
    <row r="24" customFormat="false" ht="15" hidden="false" customHeight="false" outlineLevel="0" collapsed="false">
      <c r="A24" s="12" t="s">
        <v>528</v>
      </c>
      <c r="B24" s="13" t="s">
        <v>2281</v>
      </c>
      <c r="C24" s="12" t="n">
        <v>12</v>
      </c>
      <c r="D24" s="13" t="s">
        <v>1078</v>
      </c>
      <c r="E24" s="12" t="n">
        <f aca="false">COUNTIFS(분류!$J$2:$J$1131,A24,분류!$L$2:$L$1131,D24)</f>
        <v>29</v>
      </c>
      <c r="F24" s="12" t="n">
        <f aca="false">COUNTIFS(분류!$J$2:$J$1131,A24,분류!$L$2:$L$1131,D24,분류!$N$2:$N$1131,"쉬움")</f>
        <v>10</v>
      </c>
      <c r="G24" s="12" t="n">
        <f aca="false">COUNTIFS(분류!$J$2:$J$1131,A24,분류!$L$2:$L$1131,D24,분류!$N$2:$N$1131,"어려움")</f>
        <v>19</v>
      </c>
      <c r="H24" s="14" t="n">
        <f aca="false">IF(E24=0,"",F24/E24)</f>
        <v>0.344827586206897</v>
      </c>
    </row>
    <row r="25" customFormat="false" ht="15" hidden="false" customHeight="false" outlineLevel="0" collapsed="false">
      <c r="A25" s="12" t="s">
        <v>528</v>
      </c>
      <c r="B25" s="13" t="s">
        <v>2281</v>
      </c>
      <c r="C25" s="12" t="n">
        <v>13</v>
      </c>
      <c r="D25" s="13" t="s">
        <v>1143</v>
      </c>
      <c r="E25" s="12" t="n">
        <f aca="false">COUNTIFS(분류!$J$2:$J$1131,A25,분류!$L$2:$L$1131,D25)</f>
        <v>12</v>
      </c>
      <c r="F25" s="12" t="n">
        <f aca="false">COUNTIFS(분류!$J$2:$J$1131,A25,분류!$L$2:$L$1131,D25,분류!$N$2:$N$1131,"쉬움")</f>
        <v>4</v>
      </c>
      <c r="G25" s="12" t="n">
        <f aca="false">COUNTIFS(분류!$J$2:$J$1131,A25,분류!$L$2:$L$1131,D25,분류!$N$2:$N$1131,"어려움")</f>
        <v>8</v>
      </c>
      <c r="H25" s="14" t="n">
        <f aca="false">IF(E25=0,"",F25/E25)</f>
        <v>0.333333333333333</v>
      </c>
    </row>
    <row r="26" customFormat="false" ht="15" hidden="false" customHeight="false" outlineLevel="0" collapsed="false">
      <c r="A26" s="12" t="s">
        <v>528</v>
      </c>
      <c r="B26" s="13" t="s">
        <v>2281</v>
      </c>
      <c r="C26" s="12" t="n">
        <v>14</v>
      </c>
      <c r="D26" s="13" t="s">
        <v>1169</v>
      </c>
      <c r="E26" s="12" t="n">
        <f aca="false">COUNTIFS(분류!$J$2:$J$1131,A26,분류!$L$2:$L$1131,D26)</f>
        <v>49</v>
      </c>
      <c r="F26" s="12" t="n">
        <f aca="false">COUNTIFS(분류!$J$2:$J$1131,A26,분류!$L$2:$L$1131,D26,분류!$N$2:$N$1131,"쉬움")</f>
        <v>28</v>
      </c>
      <c r="G26" s="12" t="n">
        <f aca="false">COUNTIFS(분류!$J$2:$J$1131,A26,분류!$L$2:$L$1131,D26,분류!$N$2:$N$1131,"어려움")</f>
        <v>21</v>
      </c>
      <c r="H26" s="14" t="n">
        <f aca="false">IF(E26=0,"",F26/E26)</f>
        <v>0.571428571428571</v>
      </c>
    </row>
    <row r="27" customFormat="false" ht="15" hidden="false" customHeight="false" outlineLevel="0" collapsed="false">
      <c r="A27" s="12" t="s">
        <v>528</v>
      </c>
      <c r="B27" s="13" t="s">
        <v>2281</v>
      </c>
      <c r="C27" s="12" t="n">
        <v>15</v>
      </c>
      <c r="D27" s="13" t="s">
        <v>1246</v>
      </c>
      <c r="E27" s="12" t="n">
        <f aca="false">COUNTIFS(분류!$J$2:$J$1131,A27,분류!$L$2:$L$1131,D27)</f>
        <v>15</v>
      </c>
      <c r="F27" s="12" t="n">
        <f aca="false">COUNTIFS(분류!$J$2:$J$1131,A27,분류!$L$2:$L$1131,D27,분류!$N$2:$N$1131,"쉬움")</f>
        <v>3</v>
      </c>
      <c r="G27" s="12" t="n">
        <f aca="false">COUNTIFS(분류!$J$2:$J$1131,A27,분류!$L$2:$L$1131,D27,분류!$N$2:$N$1131,"어려움")</f>
        <v>12</v>
      </c>
      <c r="H27" s="14" t="n">
        <f aca="false">IF(E27=0,"",F27/E27)</f>
        <v>0.2</v>
      </c>
    </row>
    <row r="28" customFormat="false" ht="15" hidden="false" customHeight="false" outlineLevel="0" collapsed="false">
      <c r="A28" s="12" t="s">
        <v>1281</v>
      </c>
      <c r="B28" s="13" t="s">
        <v>2282</v>
      </c>
      <c r="C28" s="12" t="n">
        <v>1</v>
      </c>
      <c r="D28" s="13" t="s">
        <v>1282</v>
      </c>
      <c r="E28" s="12" t="n">
        <f aca="false">COUNTIFS(분류!$J$2:$J$1131,A28,분류!$L$2:$L$1131,D28)</f>
        <v>90</v>
      </c>
      <c r="F28" s="12" t="n">
        <f aca="false">COUNTIFS(분류!$J$2:$J$1131,A28,분류!$L$2:$L$1131,D28,분류!$N$2:$N$1131,"쉬움")</f>
        <v>39</v>
      </c>
      <c r="G28" s="12" t="n">
        <f aca="false">COUNTIFS(분류!$J$2:$J$1131,A28,분류!$L$2:$L$1131,D28,분류!$N$2:$N$1131,"어려움")</f>
        <v>51</v>
      </c>
      <c r="H28" s="14" t="n">
        <f aca="false">IF(E28=0,"",F28/E28)</f>
        <v>0.433333333333333</v>
      </c>
    </row>
    <row r="29" customFormat="false" ht="15" hidden="false" customHeight="false" outlineLevel="0" collapsed="false">
      <c r="A29" s="12" t="s">
        <v>1281</v>
      </c>
      <c r="B29" s="13" t="s">
        <v>2282</v>
      </c>
      <c r="C29" s="12" t="n">
        <v>2</v>
      </c>
      <c r="D29" s="13" t="s">
        <v>1447</v>
      </c>
      <c r="E29" s="12" t="n">
        <f aca="false">COUNTIFS(분류!$J$2:$J$1131,A29,분류!$L$2:$L$1131,D29)</f>
        <v>50</v>
      </c>
      <c r="F29" s="12" t="n">
        <f aca="false">COUNTIFS(분류!$J$2:$J$1131,A29,분류!$L$2:$L$1131,D29,분류!$N$2:$N$1131,"쉬움")</f>
        <v>14</v>
      </c>
      <c r="G29" s="12" t="n">
        <f aca="false">COUNTIFS(분류!$J$2:$J$1131,A29,분류!$L$2:$L$1131,D29,분류!$N$2:$N$1131,"어려움")</f>
        <v>36</v>
      </c>
      <c r="H29" s="14" t="n">
        <f aca="false">IF(E29=0,"",F29/E29)</f>
        <v>0.28</v>
      </c>
    </row>
    <row r="30" customFormat="false" ht="15" hidden="false" customHeight="false" outlineLevel="0" collapsed="false">
      <c r="A30" s="12" t="s">
        <v>1281</v>
      </c>
      <c r="B30" s="13" t="s">
        <v>2282</v>
      </c>
      <c r="C30" s="12" t="n">
        <v>3</v>
      </c>
      <c r="D30" s="13" t="s">
        <v>1531</v>
      </c>
      <c r="E30" s="12" t="n">
        <f aca="false">COUNTIFS(분류!$J$2:$J$1131,A30,분류!$L$2:$L$1131,D30)</f>
        <v>19</v>
      </c>
      <c r="F30" s="12" t="n">
        <f aca="false">COUNTIFS(분류!$J$2:$J$1131,A30,분류!$L$2:$L$1131,D30,분류!$N$2:$N$1131,"쉬움")</f>
        <v>10</v>
      </c>
      <c r="G30" s="12" t="n">
        <f aca="false">COUNTIFS(분류!$J$2:$J$1131,A30,분류!$L$2:$L$1131,D30,분류!$N$2:$N$1131,"어려움")</f>
        <v>9</v>
      </c>
      <c r="H30" s="14" t="n">
        <f aca="false">IF(E30=0,"",F30/E30)</f>
        <v>0.526315789473684</v>
      </c>
    </row>
    <row r="31" customFormat="false" ht="15" hidden="false" customHeight="false" outlineLevel="0" collapsed="false">
      <c r="A31" s="12" t="s">
        <v>1281</v>
      </c>
      <c r="B31" s="13" t="s">
        <v>2282</v>
      </c>
      <c r="C31" s="12" t="n">
        <v>4</v>
      </c>
      <c r="D31" s="13" t="s">
        <v>1565</v>
      </c>
      <c r="E31" s="12" t="n">
        <f aca="false">COUNTIFS(분류!$J$2:$J$1131,A31,분류!$L$2:$L$1131,D31)</f>
        <v>57</v>
      </c>
      <c r="F31" s="12" t="n">
        <f aca="false">COUNTIFS(분류!$J$2:$J$1131,A31,분류!$L$2:$L$1131,D31,분류!$N$2:$N$1131,"쉬움")</f>
        <v>35</v>
      </c>
      <c r="G31" s="12" t="n">
        <f aca="false">COUNTIFS(분류!$J$2:$J$1131,A31,분류!$L$2:$L$1131,D31,분류!$N$2:$N$1131,"어려움")</f>
        <v>22</v>
      </c>
      <c r="H31" s="14" t="n">
        <f aca="false">IF(E31=0,"",F31/E31)</f>
        <v>0.614035087719298</v>
      </c>
    </row>
    <row r="32" customFormat="false" ht="15" hidden="false" customHeight="false" outlineLevel="0" collapsed="false">
      <c r="A32" s="12" t="s">
        <v>1281</v>
      </c>
      <c r="B32" s="13" t="s">
        <v>2282</v>
      </c>
      <c r="C32" s="12" t="n">
        <v>5</v>
      </c>
      <c r="D32" s="13" t="s">
        <v>1654</v>
      </c>
      <c r="E32" s="12" t="n">
        <f aca="false">COUNTIFS(분류!$J$2:$J$1131,A32,분류!$L$2:$L$1131,D32)</f>
        <v>63</v>
      </c>
      <c r="F32" s="12" t="n">
        <f aca="false">COUNTIFS(분류!$J$2:$J$1131,A32,분류!$L$2:$L$1131,D32,분류!$N$2:$N$1131,"쉬움")</f>
        <v>32</v>
      </c>
      <c r="G32" s="12" t="n">
        <f aca="false">COUNTIFS(분류!$J$2:$J$1131,A32,분류!$L$2:$L$1131,D32,분류!$N$2:$N$1131,"어려움")</f>
        <v>31</v>
      </c>
      <c r="H32" s="14" t="n">
        <f aca="false">IF(E32=0,"",F32/E32)</f>
        <v>0.507936507936508</v>
      </c>
    </row>
    <row r="33" customFormat="false" ht="15" hidden="false" customHeight="false" outlineLevel="0" collapsed="false">
      <c r="A33" s="12" t="s">
        <v>1281</v>
      </c>
      <c r="B33" s="13" t="s">
        <v>2282</v>
      </c>
      <c r="C33" s="12" t="n">
        <v>6</v>
      </c>
      <c r="D33" s="13" t="s">
        <v>1760</v>
      </c>
      <c r="E33" s="12" t="n">
        <f aca="false">COUNTIFS(분류!$J$2:$J$1131,A33,분류!$L$2:$L$1131,D33)</f>
        <v>15</v>
      </c>
      <c r="F33" s="12" t="n">
        <f aca="false">COUNTIFS(분류!$J$2:$J$1131,A33,분류!$L$2:$L$1131,D33,분류!$N$2:$N$1131,"쉬움")</f>
        <v>4</v>
      </c>
      <c r="G33" s="12" t="n">
        <f aca="false">COUNTIFS(분류!$J$2:$J$1131,A33,분류!$L$2:$L$1131,D33,분류!$N$2:$N$1131,"어려움")</f>
        <v>11</v>
      </c>
      <c r="H33" s="14" t="n">
        <f aca="false">IF(E33=0,"",F33/E33)</f>
        <v>0.266666666666667</v>
      </c>
    </row>
    <row r="34" customFormat="false" ht="15" hidden="false" customHeight="false" outlineLevel="0" collapsed="false">
      <c r="A34" s="12" t="s">
        <v>1281</v>
      </c>
      <c r="B34" s="13" t="s">
        <v>2282</v>
      </c>
      <c r="C34" s="12" t="n">
        <v>7</v>
      </c>
      <c r="D34" s="13" t="s">
        <v>1791</v>
      </c>
      <c r="E34" s="12" t="n">
        <f aca="false">COUNTIFS(분류!$J$2:$J$1131,A34,분류!$L$2:$L$1131,D34)</f>
        <v>1</v>
      </c>
      <c r="F34" s="12" t="n">
        <f aca="false">COUNTIFS(분류!$J$2:$J$1131,A34,분류!$L$2:$L$1131,D34,분류!$N$2:$N$1131,"쉬움")</f>
        <v>1</v>
      </c>
      <c r="G34" s="12" t="n">
        <f aca="false">COUNTIFS(분류!$J$2:$J$1131,A34,분류!$L$2:$L$1131,D34,분류!$N$2:$N$1131,"어려움")</f>
        <v>0</v>
      </c>
      <c r="H34" s="14" t="n">
        <f aca="false">IF(E34=0,"",F34/E34)</f>
        <v>1</v>
      </c>
    </row>
    <row r="35" customFormat="false" ht="15" hidden="false" customHeight="false" outlineLevel="0" collapsed="false">
      <c r="A35" s="12" t="s">
        <v>1281</v>
      </c>
      <c r="B35" s="13" t="s">
        <v>2282</v>
      </c>
      <c r="C35" s="12" t="n">
        <v>8</v>
      </c>
      <c r="D35" s="13" t="s">
        <v>1796</v>
      </c>
      <c r="E35" s="12" t="n">
        <f aca="false">COUNTIFS(분류!$J$2:$J$1131,A35,분류!$L$2:$L$1131,D35)</f>
        <v>11</v>
      </c>
      <c r="F35" s="12" t="n">
        <f aca="false">COUNTIFS(분류!$J$2:$J$1131,A35,분류!$L$2:$L$1131,D35,분류!$N$2:$N$1131,"쉬움")</f>
        <v>5</v>
      </c>
      <c r="G35" s="12" t="n">
        <f aca="false">COUNTIFS(분류!$J$2:$J$1131,A35,분류!$L$2:$L$1131,D35,분류!$N$2:$N$1131,"어려움")</f>
        <v>6</v>
      </c>
      <c r="H35" s="14" t="n">
        <f aca="false">IF(E35=0,"",F35/E35)</f>
        <v>0.454545454545455</v>
      </c>
    </row>
    <row r="36" customFormat="false" ht="15" hidden="false" customHeight="false" outlineLevel="0" collapsed="false">
      <c r="A36" s="12" t="s">
        <v>1281</v>
      </c>
      <c r="B36" s="13" t="s">
        <v>2282</v>
      </c>
      <c r="C36" s="12" t="n">
        <v>9</v>
      </c>
      <c r="D36" s="13" t="s">
        <v>1819</v>
      </c>
      <c r="E36" s="12" t="n">
        <f aca="false">COUNTIFS(분류!$J$2:$J$1131,A36,분류!$L$2:$L$1131,D36)</f>
        <v>16</v>
      </c>
      <c r="F36" s="12" t="n">
        <f aca="false">COUNTIFS(분류!$J$2:$J$1131,A36,분류!$L$2:$L$1131,D36,분류!$N$2:$N$1131,"쉬움")</f>
        <v>3</v>
      </c>
      <c r="G36" s="12" t="n">
        <f aca="false">COUNTIFS(분류!$J$2:$J$1131,A36,분류!$L$2:$L$1131,D36,분류!$N$2:$N$1131,"어려움")</f>
        <v>13</v>
      </c>
      <c r="H36" s="14" t="n">
        <f aca="false">IF(E36=0,"",F36/E36)</f>
        <v>0.1875</v>
      </c>
    </row>
    <row r="37" customFormat="false" ht="15" hidden="false" customHeight="false" outlineLevel="0" collapsed="false">
      <c r="A37" s="12" t="s">
        <v>1281</v>
      </c>
      <c r="B37" s="13" t="s">
        <v>2282</v>
      </c>
      <c r="C37" s="12" t="n">
        <v>10</v>
      </c>
      <c r="D37" s="13" t="s">
        <v>1851</v>
      </c>
      <c r="E37" s="12" t="n">
        <f aca="false">COUNTIFS(분류!$J$2:$J$1131,A37,분류!$L$2:$L$1131,D37)</f>
        <v>4</v>
      </c>
      <c r="F37" s="12" t="n">
        <f aca="false">COUNTIFS(분류!$J$2:$J$1131,A37,분류!$L$2:$L$1131,D37,분류!$N$2:$N$1131,"쉬움")</f>
        <v>2</v>
      </c>
      <c r="G37" s="12" t="n">
        <f aca="false">COUNTIFS(분류!$J$2:$J$1131,A37,분류!$L$2:$L$1131,D37,분류!$N$2:$N$1131,"어려움")</f>
        <v>2</v>
      </c>
      <c r="H37" s="14" t="n">
        <f aca="false">IF(E37=0,"",F37/E37)</f>
        <v>0.5</v>
      </c>
    </row>
    <row r="38" customFormat="false" ht="15" hidden="false" customHeight="false" outlineLevel="0" collapsed="false">
      <c r="A38" s="12" t="s">
        <v>1281</v>
      </c>
      <c r="B38" s="13" t="s">
        <v>2282</v>
      </c>
      <c r="C38" s="12" t="n">
        <v>11</v>
      </c>
      <c r="D38" s="13" t="s">
        <v>1859</v>
      </c>
      <c r="E38" s="12" t="n">
        <f aca="false">COUNTIFS(분류!$J$2:$J$1131,A38,분류!$L$2:$L$1131,D38)</f>
        <v>6</v>
      </c>
      <c r="F38" s="12" t="n">
        <f aca="false">COUNTIFS(분류!$J$2:$J$1131,A38,분류!$L$2:$L$1131,D38,분류!$N$2:$N$1131,"쉬움")</f>
        <v>2</v>
      </c>
      <c r="G38" s="12" t="n">
        <f aca="false">COUNTIFS(분류!$J$2:$J$1131,A38,분류!$L$2:$L$1131,D38,분류!$N$2:$N$1131,"어려움")</f>
        <v>4</v>
      </c>
      <c r="H38" s="14" t="n">
        <f aca="false">IF(E38=0,"",F38/E38)</f>
        <v>0.333333333333333</v>
      </c>
    </row>
    <row r="39" customFormat="false" ht="15" hidden="false" customHeight="false" outlineLevel="0" collapsed="false">
      <c r="A39" s="12" t="s">
        <v>1281</v>
      </c>
      <c r="B39" s="13" t="s">
        <v>2282</v>
      </c>
      <c r="C39" s="12" t="n">
        <v>12</v>
      </c>
      <c r="D39" s="13" t="s">
        <v>1872</v>
      </c>
      <c r="E39" s="12" t="n">
        <f aca="false">COUNTIFS(분류!$J$2:$J$1131,A39,분류!$L$2:$L$1131,D39)</f>
        <v>19</v>
      </c>
      <c r="F39" s="12" t="n">
        <f aca="false">COUNTIFS(분류!$J$2:$J$1131,A39,분류!$L$2:$L$1131,D39,분류!$N$2:$N$1131,"쉬움")</f>
        <v>16</v>
      </c>
      <c r="G39" s="12" t="n">
        <f aca="false">COUNTIFS(분류!$J$2:$J$1131,A39,분류!$L$2:$L$1131,D39,분류!$N$2:$N$1131,"어려움")</f>
        <v>3</v>
      </c>
      <c r="H39" s="14" t="n">
        <f aca="false">IF(E39=0,"",F39/E39)</f>
        <v>0.842105263157895</v>
      </c>
    </row>
    <row r="40" customFormat="false" ht="15" hidden="false" customHeight="false" outlineLevel="0" collapsed="false">
      <c r="A40" s="12" t="s">
        <v>1281</v>
      </c>
      <c r="B40" s="13" t="s">
        <v>2282</v>
      </c>
      <c r="C40" s="12" t="n">
        <v>13</v>
      </c>
      <c r="D40" s="13" t="s">
        <v>1903</v>
      </c>
      <c r="E40" s="12" t="n">
        <f aca="false">COUNTIFS(분류!$J$2:$J$1131,A40,분류!$L$2:$L$1131,D40)</f>
        <v>62</v>
      </c>
      <c r="F40" s="12" t="n">
        <f aca="false">COUNTIFS(분류!$J$2:$J$1131,A40,분류!$L$2:$L$1131,D40,분류!$N$2:$N$1131,"쉬움")</f>
        <v>42</v>
      </c>
      <c r="G40" s="12" t="n">
        <f aca="false">COUNTIFS(분류!$J$2:$J$1131,A40,분류!$L$2:$L$1131,D40,분류!$N$2:$N$1131,"어려움")</f>
        <v>20</v>
      </c>
      <c r="H40" s="14" t="n">
        <f aca="false">IF(E40=0,"",F40/E40)</f>
        <v>0.67741935483871</v>
      </c>
    </row>
    <row r="41" customFormat="false" ht="15" hidden="false" customHeight="false" outlineLevel="0" collapsed="false">
      <c r="A41" s="12" t="s">
        <v>1281</v>
      </c>
      <c r="B41" s="13" t="s">
        <v>2282</v>
      </c>
      <c r="C41" s="12" t="n">
        <v>14</v>
      </c>
      <c r="D41" s="13" t="s">
        <v>2021</v>
      </c>
      <c r="E41" s="12" t="n">
        <f aca="false">COUNTIFS(분류!$J$2:$J$1131,A41,분류!$L$2:$L$1131,D41)</f>
        <v>11</v>
      </c>
      <c r="F41" s="12" t="n">
        <f aca="false">COUNTIFS(분류!$J$2:$J$1131,A41,분류!$L$2:$L$1131,D41,분류!$N$2:$N$1131,"쉬움")</f>
        <v>3</v>
      </c>
      <c r="G41" s="12" t="n">
        <f aca="false">COUNTIFS(분류!$J$2:$J$1131,A41,분류!$L$2:$L$1131,D41,분류!$N$2:$N$1131,"어려움")</f>
        <v>8</v>
      </c>
      <c r="H41" s="14" t="n">
        <f aca="false">IF(E41=0,"",F41/E41)</f>
        <v>0.272727272727273</v>
      </c>
    </row>
    <row r="42" customFormat="false" ht="15" hidden="false" customHeight="false" outlineLevel="0" collapsed="false">
      <c r="A42" s="12" t="s">
        <v>2045</v>
      </c>
      <c r="B42" s="13" t="s">
        <v>2283</v>
      </c>
      <c r="C42" s="12" t="n">
        <v>1</v>
      </c>
      <c r="D42" s="13" t="s">
        <v>2046</v>
      </c>
      <c r="E42" s="12" t="n">
        <f aca="false">COUNTIFS(분류!$J$2:$J$1131,A42,분류!$L$2:$L$1131,D42)</f>
        <v>15</v>
      </c>
      <c r="F42" s="12" t="n">
        <f aca="false">COUNTIFS(분류!$J$2:$J$1131,A42,분류!$L$2:$L$1131,D42,분류!$N$2:$N$1131,"쉬움")</f>
        <v>5</v>
      </c>
      <c r="G42" s="12" t="n">
        <f aca="false">COUNTIFS(분류!$J$2:$J$1131,A42,분류!$L$2:$L$1131,D42,분류!$N$2:$N$1131,"어려움")</f>
        <v>10</v>
      </c>
      <c r="H42" s="14" t="n">
        <f aca="false">IF(E42=0,"",F42/E42)</f>
        <v>0.333333333333333</v>
      </c>
    </row>
    <row r="43" customFormat="false" ht="15" hidden="false" customHeight="false" outlineLevel="0" collapsed="false">
      <c r="A43" s="12" t="s">
        <v>2045</v>
      </c>
      <c r="B43" s="13" t="s">
        <v>2283</v>
      </c>
      <c r="C43" s="12" t="n">
        <v>2</v>
      </c>
      <c r="D43" s="13" t="s">
        <v>2075</v>
      </c>
      <c r="E43" s="12" t="n">
        <f aca="false">COUNTIFS(분류!$J$2:$J$1131,A43,분류!$L$2:$L$1131,D43)</f>
        <v>30</v>
      </c>
      <c r="F43" s="12" t="n">
        <f aca="false">COUNTIFS(분류!$J$2:$J$1131,A43,분류!$L$2:$L$1131,D43,분류!$N$2:$N$1131,"쉬움")</f>
        <v>4</v>
      </c>
      <c r="G43" s="12" t="n">
        <f aca="false">COUNTIFS(분류!$J$2:$J$1131,A43,분류!$L$2:$L$1131,D43,분류!$N$2:$N$1131,"어려움")</f>
        <v>26</v>
      </c>
      <c r="H43" s="14" t="n">
        <f aca="false">IF(E43=0,"",F43/E43)</f>
        <v>0.133333333333333</v>
      </c>
    </row>
    <row r="44" customFormat="false" ht="15" hidden="false" customHeight="false" outlineLevel="0" collapsed="false">
      <c r="A44" s="12" t="s">
        <v>2045</v>
      </c>
      <c r="B44" s="13" t="s">
        <v>2283</v>
      </c>
      <c r="C44" s="12" t="n">
        <v>3</v>
      </c>
      <c r="D44" s="13" t="s">
        <v>2134</v>
      </c>
      <c r="E44" s="12" t="n">
        <f aca="false">COUNTIFS(분류!$J$2:$J$1131,A44,분류!$L$2:$L$1131,D44)</f>
        <v>32</v>
      </c>
      <c r="F44" s="12" t="n">
        <f aca="false">COUNTIFS(분류!$J$2:$J$1131,A44,분류!$L$2:$L$1131,D44,분류!$N$2:$N$1131,"쉬움")</f>
        <v>19</v>
      </c>
      <c r="G44" s="12" t="n">
        <f aca="false">COUNTIFS(분류!$J$2:$J$1131,A44,분류!$L$2:$L$1131,D44,분류!$N$2:$N$1131,"어려움")</f>
        <v>13</v>
      </c>
      <c r="H44" s="14" t="n">
        <f aca="false">IF(E44=0,"",F44/E44)</f>
        <v>0.59375</v>
      </c>
    </row>
    <row r="45" customFormat="false" ht="15" hidden="false" customHeight="false" outlineLevel="0" collapsed="false">
      <c r="A45" s="12" t="s">
        <v>2045</v>
      </c>
      <c r="B45" s="13" t="s">
        <v>2283</v>
      </c>
      <c r="C45" s="12" t="n">
        <v>4</v>
      </c>
      <c r="D45" s="13" t="s">
        <v>2194</v>
      </c>
      <c r="E45" s="12" t="n">
        <f aca="false">COUNTIFS(분류!$J$2:$J$1131,A45,분류!$L$2:$L$1131,D45)</f>
        <v>20</v>
      </c>
      <c r="F45" s="12" t="n">
        <f aca="false">COUNTIFS(분류!$J$2:$J$1131,A45,분류!$L$2:$L$1131,D45,분류!$N$2:$N$1131,"쉬움")</f>
        <v>11</v>
      </c>
      <c r="G45" s="12" t="n">
        <f aca="false">COUNTIFS(분류!$J$2:$J$1131,A45,분류!$L$2:$L$1131,D45,분류!$N$2:$N$1131,"어려움")</f>
        <v>9</v>
      </c>
      <c r="H45" s="14" t="n">
        <f aca="false">IF(E45=0,"",F45/E45)</f>
        <v>0.55</v>
      </c>
    </row>
    <row r="46" customFormat="false" ht="15" hidden="false" customHeight="false" outlineLevel="0" collapsed="false">
      <c r="A46" s="12" t="s">
        <v>2045</v>
      </c>
      <c r="B46" s="13" t="s">
        <v>2283</v>
      </c>
      <c r="C46" s="12" t="n">
        <v>5</v>
      </c>
      <c r="D46" s="13" t="s">
        <v>2232</v>
      </c>
      <c r="E46" s="12" t="n">
        <f aca="false">COUNTIFS(분류!$J$2:$J$1131,A46,분류!$L$2:$L$1131,D46)</f>
        <v>15</v>
      </c>
      <c r="F46" s="12" t="n">
        <f aca="false">COUNTIFS(분류!$J$2:$J$1131,A46,분류!$L$2:$L$1131,D46,분류!$N$2:$N$1131,"쉬움")</f>
        <v>6</v>
      </c>
      <c r="G46" s="12" t="n">
        <f aca="false">COUNTIFS(분류!$J$2:$J$1131,A46,분류!$L$2:$L$1131,D46,분류!$N$2:$N$1131,"어려움")</f>
        <v>9</v>
      </c>
      <c r="H46" s="14" t="n">
        <f aca="false">IF(E46=0,"",F46/E46)</f>
        <v>0.4</v>
      </c>
    </row>
    <row r="47" customFormat="false" ht="15" hidden="false" customHeight="false" outlineLevel="0" collapsed="false">
      <c r="A47" s="12" t="s">
        <v>2045</v>
      </c>
      <c r="B47" s="13" t="s">
        <v>2283</v>
      </c>
      <c r="C47" s="12" t="n">
        <v>6</v>
      </c>
      <c r="D47" s="13" t="s">
        <v>2261</v>
      </c>
      <c r="E47" s="12" t="n">
        <f aca="false">COUNTIFS(분류!$J$2:$J$1131,A47,분류!$L$2:$L$1131,D47)</f>
        <v>8</v>
      </c>
      <c r="F47" s="12" t="n">
        <f aca="false">COUNTIFS(분류!$J$2:$J$1131,A47,분류!$L$2:$L$1131,D47,분류!$N$2:$N$1131,"쉬움")</f>
        <v>2</v>
      </c>
      <c r="G47" s="12" t="n">
        <f aca="false">COUNTIFS(분류!$J$2:$J$1131,A47,분류!$L$2:$L$1131,D47,분류!$N$2:$N$1131,"어려움")</f>
        <v>6</v>
      </c>
      <c r="H47" s="14" t="n">
        <f aca="false">IF(E47=0,"",F47/E47)</f>
        <v>0.25</v>
      </c>
    </row>
    <row r="48" customFormat="false" ht="15" hidden="false" customHeight="false" outlineLevel="0" collapsed="false">
      <c r="A48" s="12" t="s">
        <v>2045</v>
      </c>
      <c r="B48" s="13" t="s">
        <v>2283</v>
      </c>
      <c r="C48" s="12" t="n">
        <v>7</v>
      </c>
      <c r="D48" s="13" t="s">
        <v>2276</v>
      </c>
      <c r="E48" s="12" t="n">
        <f aca="false">COUNTIFS(분류!$J$2:$J$1131,A48,분류!$L$2:$L$1131,D48)</f>
        <v>1</v>
      </c>
      <c r="F48" s="12" t="n">
        <f aca="false">COUNTIFS(분류!$J$2:$J$1131,A48,분류!$L$2:$L$1131,D48,분류!$N$2:$N$1131,"쉬움")</f>
        <v>1</v>
      </c>
      <c r="G48" s="12" t="n">
        <f aca="false">COUNTIFS(분류!$J$2:$J$1131,A48,분류!$L$2:$L$1131,D48,분류!$N$2:$N$1131,"어려움")</f>
        <v>0</v>
      </c>
      <c r="H48" s="14" t="n">
        <f aca="false">IF(E48=0,"",F48/E48)</f>
        <v>1</v>
      </c>
    </row>
    <row r="49" customFormat="false" ht="15" hidden="false" customHeight="false" outlineLevel="0" collapsed="false">
      <c r="A49" s="13" t="s">
        <v>2284</v>
      </c>
      <c r="B49" s="12"/>
      <c r="C49" s="12"/>
      <c r="D49" s="12"/>
      <c r="E49" s="12" t="n">
        <f aca="false">SUM(E2:E48)</f>
        <v>1130</v>
      </c>
      <c r="F49" s="12" t="n">
        <f aca="false">SUM(F2:F48)</f>
        <v>553</v>
      </c>
      <c r="G49" s="12" t="n">
        <f aca="false">SUM(G2:G48)</f>
        <v>577</v>
      </c>
      <c r="H49" s="14" t="n">
        <f aca="false">F49/E49</f>
        <v>0.489380530973451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6" min="4" style="0" width="7"/>
  </cols>
  <sheetData>
    <row r="1" customFormat="false" ht="17.15" hidden="false" customHeight="false" outlineLevel="0" collapsed="false">
      <c r="A1" s="2" t="s">
        <v>5</v>
      </c>
      <c r="B1" s="1" t="s">
        <v>2285</v>
      </c>
      <c r="C1" s="1" t="s">
        <v>2278</v>
      </c>
      <c r="D1" s="1" t="s">
        <v>20</v>
      </c>
      <c r="E1" s="1" t="s">
        <v>38</v>
      </c>
      <c r="F1" s="1" t="s">
        <v>389</v>
      </c>
    </row>
    <row r="2" customFormat="false" ht="15" hidden="false" customHeight="false" outlineLevel="0" collapsed="false">
      <c r="A2" s="12" t="s">
        <v>37</v>
      </c>
      <c r="B2" s="13" t="s">
        <v>2286</v>
      </c>
      <c r="C2" s="12" t="n">
        <f aca="false">COUNTIF(분류!$F$2:$F$1131,A2)</f>
        <v>174</v>
      </c>
      <c r="D2" s="12" t="n">
        <f aca="false">COUNTIFS(분류!$F$2:$F$1131,$A2,분류!$H$2:$H$1131,"하")</f>
        <v>0</v>
      </c>
      <c r="E2" s="12" t="n">
        <f aca="false">COUNTIFS(분류!$F$2:$F$1131,$A2,분류!$H$2:$H$1131,"중")</f>
        <v>165</v>
      </c>
      <c r="F2" s="12" t="n">
        <f aca="false">COUNTIFS(분류!$F$2:$F$1131,$A2,분류!$H$2:$H$1131,"상")</f>
        <v>9</v>
      </c>
    </row>
    <row r="3" customFormat="false" ht="15" hidden="false" customHeight="false" outlineLevel="0" collapsed="false">
      <c r="A3" s="12" t="s">
        <v>82</v>
      </c>
      <c r="B3" s="13" t="s">
        <v>2287</v>
      </c>
      <c r="C3" s="12" t="n">
        <f aca="false">COUNTIF(분류!$F$2:$F$1131,A3)</f>
        <v>45</v>
      </c>
      <c r="D3" s="12" t="n">
        <f aca="false">COUNTIFS(분류!$F$2:$F$1131,$A3,분류!$H$2:$H$1131,"하")</f>
        <v>0</v>
      </c>
      <c r="E3" s="12" t="n">
        <f aca="false">COUNTIFS(분류!$F$2:$F$1131,$A3,분류!$H$2:$H$1131,"중")</f>
        <v>44</v>
      </c>
      <c r="F3" s="12" t="n">
        <f aca="false">COUNTIFS(분류!$F$2:$F$1131,$A3,분류!$H$2:$H$1131,"상")</f>
        <v>1</v>
      </c>
    </row>
    <row r="4" customFormat="false" ht="15" hidden="false" customHeight="false" outlineLevel="0" collapsed="false">
      <c r="A4" s="12" t="s">
        <v>378</v>
      </c>
      <c r="B4" s="13" t="s">
        <v>2288</v>
      </c>
      <c r="C4" s="12" t="n">
        <f aca="false">COUNTIF(분류!$F$2:$F$1131,A4)</f>
        <v>30</v>
      </c>
      <c r="D4" s="12" t="n">
        <f aca="false">COUNTIFS(분류!$F$2:$F$1131,$A4,분류!$H$2:$H$1131,"하")</f>
        <v>0</v>
      </c>
      <c r="E4" s="12" t="n">
        <f aca="false">COUNTIFS(분류!$F$2:$F$1131,$A4,분류!$H$2:$H$1131,"중")</f>
        <v>24</v>
      </c>
      <c r="F4" s="12" t="n">
        <f aca="false">COUNTIFS(분류!$F$2:$F$1131,$A4,분류!$H$2:$H$1131,"상")</f>
        <v>6</v>
      </c>
    </row>
    <row r="5" customFormat="false" ht="15" hidden="false" customHeight="false" outlineLevel="0" collapsed="false">
      <c r="A5" s="12" t="s">
        <v>31</v>
      </c>
      <c r="B5" s="13" t="s">
        <v>2289</v>
      </c>
      <c r="C5" s="12" t="n">
        <f aca="false">COUNTIF(분류!$F$2:$F$1131,A5)</f>
        <v>71</v>
      </c>
      <c r="D5" s="12" t="n">
        <f aca="false">COUNTIFS(분류!$F$2:$F$1131,$A5,분류!$H$2:$H$1131,"하")</f>
        <v>57</v>
      </c>
      <c r="E5" s="12" t="n">
        <f aca="false">COUNTIFS(분류!$F$2:$F$1131,$A5,분류!$H$2:$H$1131,"중")</f>
        <v>14</v>
      </c>
      <c r="F5" s="12" t="n">
        <f aca="false">COUNTIFS(분류!$F$2:$F$1131,$A5,분류!$H$2:$H$1131,"상")</f>
        <v>0</v>
      </c>
    </row>
    <row r="6" customFormat="false" ht="15" hidden="false" customHeight="false" outlineLevel="0" collapsed="false">
      <c r="A6" s="12" t="s">
        <v>26</v>
      </c>
      <c r="B6" s="13" t="s">
        <v>2290</v>
      </c>
      <c r="C6" s="12" t="n">
        <f aca="false">COUNTIF(분류!$F$2:$F$1131,A6)</f>
        <v>74</v>
      </c>
      <c r="D6" s="12" t="n">
        <f aca="false">COUNTIFS(분류!$F$2:$F$1131,$A6,분류!$H$2:$H$1131,"하")</f>
        <v>60</v>
      </c>
      <c r="E6" s="12" t="n">
        <f aca="false">COUNTIFS(분류!$F$2:$F$1131,$A6,분류!$H$2:$H$1131,"중")</f>
        <v>14</v>
      </c>
      <c r="F6" s="12" t="n">
        <f aca="false">COUNTIFS(분류!$F$2:$F$1131,$A6,분류!$H$2:$H$1131,"상")</f>
        <v>0</v>
      </c>
    </row>
    <row r="7" customFormat="false" ht="15" hidden="false" customHeight="false" outlineLevel="0" collapsed="false">
      <c r="A7" s="12" t="s">
        <v>2055</v>
      </c>
      <c r="B7" s="13" t="s">
        <v>2291</v>
      </c>
      <c r="C7" s="12" t="n">
        <f aca="false">COUNTIF(분류!$F$2:$F$1131,A7)</f>
        <v>10</v>
      </c>
      <c r="D7" s="12" t="n">
        <f aca="false">COUNTIFS(분류!$F$2:$F$1131,$A7,분류!$H$2:$H$1131,"하")</f>
        <v>3</v>
      </c>
      <c r="E7" s="12" t="n">
        <f aca="false">COUNTIFS(분류!$F$2:$F$1131,$A7,분류!$H$2:$H$1131,"중")</f>
        <v>7</v>
      </c>
      <c r="F7" s="12" t="n">
        <f aca="false">COUNTIFS(분류!$F$2:$F$1131,$A7,분류!$H$2:$H$1131,"상")</f>
        <v>0</v>
      </c>
    </row>
    <row r="8" customFormat="false" ht="15" hidden="false" customHeight="false" outlineLevel="0" collapsed="false">
      <c r="A8" s="12" t="s">
        <v>214</v>
      </c>
      <c r="B8" s="13" t="s">
        <v>2292</v>
      </c>
      <c r="C8" s="12" t="n">
        <f aca="false">COUNTIF(분류!$F$2:$F$1131,A8)</f>
        <v>27</v>
      </c>
      <c r="D8" s="12" t="n">
        <f aca="false">COUNTIFS(분류!$F$2:$F$1131,$A8,분류!$H$2:$H$1131,"하")</f>
        <v>17</v>
      </c>
      <c r="E8" s="12" t="n">
        <f aca="false">COUNTIFS(분류!$F$2:$F$1131,$A8,분류!$H$2:$H$1131,"중")</f>
        <v>10</v>
      </c>
      <c r="F8" s="12" t="n">
        <f aca="false">COUNTIFS(분류!$F$2:$F$1131,$A8,분류!$H$2:$H$1131,"상")</f>
        <v>0</v>
      </c>
    </row>
    <row r="9" customFormat="false" ht="15" hidden="false" customHeight="false" outlineLevel="0" collapsed="false">
      <c r="A9" s="12" t="s">
        <v>760</v>
      </c>
      <c r="B9" s="13" t="s">
        <v>2293</v>
      </c>
      <c r="C9" s="12" t="n">
        <f aca="false">COUNTIF(분류!$F$2:$F$1131,A9)</f>
        <v>106</v>
      </c>
      <c r="D9" s="12" t="n">
        <f aca="false">COUNTIFS(분류!$F$2:$F$1131,$A9,분류!$H$2:$H$1131,"하")</f>
        <v>57</v>
      </c>
      <c r="E9" s="12" t="n">
        <f aca="false">COUNTIFS(분류!$F$2:$F$1131,$A9,분류!$H$2:$H$1131,"중")</f>
        <v>49</v>
      </c>
      <c r="F9" s="12" t="n">
        <f aca="false">COUNTIFS(분류!$F$2:$F$1131,$A9,분류!$H$2:$H$1131,"상")</f>
        <v>0</v>
      </c>
    </row>
    <row r="10" customFormat="false" ht="15" hidden="false" customHeight="false" outlineLevel="0" collapsed="false">
      <c r="A10" s="12" t="s">
        <v>18</v>
      </c>
      <c r="B10" s="13" t="s">
        <v>2294</v>
      </c>
      <c r="C10" s="12" t="n">
        <f aca="false">COUNTIF(분류!$F$2:$F$1131,A10)</f>
        <v>60</v>
      </c>
      <c r="D10" s="12" t="n">
        <f aca="false">COUNTIFS(분류!$F$2:$F$1131,$A10,분류!$H$2:$H$1131,"하")</f>
        <v>40</v>
      </c>
      <c r="E10" s="12" t="n">
        <f aca="false">COUNTIFS(분류!$F$2:$F$1131,$A10,분류!$H$2:$H$1131,"중")</f>
        <v>19</v>
      </c>
      <c r="F10" s="12" t="n">
        <f aca="false">COUNTIFS(분류!$F$2:$F$1131,$A10,분류!$H$2:$H$1131,"상")</f>
        <v>1</v>
      </c>
    </row>
    <row r="11" customFormat="false" ht="15" hidden="false" customHeight="false" outlineLevel="0" collapsed="false">
      <c r="A11" s="12" t="s">
        <v>476</v>
      </c>
      <c r="B11" s="13" t="s">
        <v>2295</v>
      </c>
      <c r="C11" s="12" t="n">
        <f aca="false">COUNTIF(분류!$F$2:$F$1131,A11)</f>
        <v>379</v>
      </c>
      <c r="D11" s="12" t="n">
        <f aca="false">COUNTIFS(분류!$F$2:$F$1131,$A11,분류!$H$2:$H$1131,"하")</f>
        <v>226</v>
      </c>
      <c r="E11" s="12" t="n">
        <f aca="false">COUNTIFS(분류!$F$2:$F$1131,$A11,분류!$H$2:$H$1131,"중")</f>
        <v>153</v>
      </c>
      <c r="F11" s="12" t="n">
        <f aca="false">COUNTIFS(분류!$F$2:$F$1131,$A11,분류!$H$2:$H$1131,"상")</f>
        <v>0</v>
      </c>
    </row>
    <row r="12" customFormat="false" ht="15" hidden="false" customHeight="false" outlineLevel="0" collapsed="false">
      <c r="A12" s="12" t="s">
        <v>526</v>
      </c>
      <c r="B12" s="13" t="s">
        <v>2296</v>
      </c>
      <c r="C12" s="12" t="n">
        <f aca="false">COUNTIF(분류!$F$2:$F$1131,A12)</f>
        <v>154</v>
      </c>
      <c r="D12" s="12" t="n">
        <f aca="false">COUNTIFS(분류!$F$2:$F$1131,$A12,분류!$H$2:$H$1131,"하")</f>
        <v>93</v>
      </c>
      <c r="E12" s="12" t="n">
        <f aca="false">COUNTIFS(분류!$F$2:$F$1131,$A12,분류!$H$2:$H$1131,"중")</f>
        <v>61</v>
      </c>
      <c r="F12" s="12" t="n">
        <f aca="false">COUNTIFS(분류!$F$2:$F$1131,$A12,분류!$H$2:$H$1131,"상")</f>
        <v>0</v>
      </c>
    </row>
    <row r="13" customFormat="false" ht="15" hidden="false" customHeight="false" outlineLevel="0" collapsed="false">
      <c r="A13" s="13" t="s">
        <v>2284</v>
      </c>
      <c r="B13" s="12"/>
      <c r="C13" s="12" t="n">
        <f aca="false">SUM(C2:C12)</f>
        <v>1130</v>
      </c>
      <c r="D13" s="12" t="n">
        <f aca="false">SUM(D2:D12)</f>
        <v>553</v>
      </c>
      <c r="E13" s="12" t="n">
        <f aca="false">SUM(E2:E12)</f>
        <v>560</v>
      </c>
      <c r="F13" s="12" t="n">
        <f aca="false">SUM(F2:F12)</f>
        <v>17</v>
      </c>
    </row>
    <row r="15" customFormat="false" ht="15" hidden="false" customHeight="false" outlineLevel="0" collapsed="false">
      <c r="A15" s="15" t="s">
        <v>2297</v>
      </c>
      <c r="B15" s="12"/>
    </row>
    <row r="16" customFormat="false" ht="15" hidden="false" customHeight="false" outlineLevel="0" collapsed="false">
      <c r="A16" s="15" t="s">
        <v>2298</v>
      </c>
      <c r="B16" s="12" t="s">
        <v>2299</v>
      </c>
    </row>
    <row r="17" customFormat="false" ht="15" hidden="false" customHeight="false" outlineLevel="0" collapsed="false">
      <c r="A17" s="15" t="s">
        <v>2300</v>
      </c>
      <c r="B17" s="12" t="s">
        <v>2301</v>
      </c>
    </row>
    <row r="18" customFormat="false" ht="15" hidden="false" customHeight="false" outlineLevel="0" collapsed="false">
      <c r="A18" s="15" t="s">
        <v>2284</v>
      </c>
      <c r="B18" s="12" t="s">
        <v>2302</v>
      </c>
    </row>
    <row r="19" customFormat="false" ht="15" hidden="false" customHeight="false" outlineLevel="0" collapsed="false">
      <c r="A19" s="15"/>
      <c r="B19" s="12"/>
    </row>
    <row r="20" customFormat="false" ht="15" hidden="false" customHeight="false" outlineLevel="0" collapsed="false">
      <c r="A20" s="15" t="s">
        <v>2303</v>
      </c>
      <c r="B20" s="13" t="s">
        <v>2304</v>
      </c>
    </row>
    <row r="21" customFormat="false" ht="15" hidden="false" customHeight="false" outlineLevel="0" collapsed="false">
      <c r="A21" s="15"/>
      <c r="B21" s="12"/>
    </row>
    <row r="22" customFormat="false" ht="15" hidden="false" customHeight="false" outlineLevel="0" collapsed="false">
      <c r="A22" s="15" t="s">
        <v>2305</v>
      </c>
      <c r="B22" s="13" t="s">
        <v>2306</v>
      </c>
    </row>
    <row r="23" customFormat="false" ht="15" hidden="false" customHeight="false" outlineLevel="0" collapsed="false">
      <c r="A23" s="15" t="s">
        <v>2307</v>
      </c>
      <c r="B23" s="13" t="s">
        <v>2308</v>
      </c>
    </row>
    <row r="24" customFormat="false" ht="15" hidden="false" customHeight="false" outlineLevel="0" collapsed="false">
      <c r="A24" s="15" t="s">
        <v>2309</v>
      </c>
      <c r="B24" s="13" t="s">
        <v>2310</v>
      </c>
    </row>
    <row r="25" customFormat="false" ht="15" hidden="false" customHeight="false" outlineLevel="0" collapsed="false">
      <c r="A25" s="15"/>
      <c r="B25" s="12"/>
    </row>
    <row r="26" customFormat="false" ht="15" hidden="false" customHeight="false" outlineLevel="0" collapsed="false">
      <c r="A26" s="15" t="s">
        <v>2311</v>
      </c>
      <c r="B26" s="12"/>
    </row>
    <row r="27" customFormat="false" ht="15" hidden="false" customHeight="false" outlineLevel="0" collapsed="false">
      <c r="A27" s="16" t="s">
        <v>2312</v>
      </c>
      <c r="B27" s="13" t="s">
        <v>2313</v>
      </c>
    </row>
    <row r="28" customFormat="false" ht="15" hidden="false" customHeight="false" outlineLevel="0" collapsed="false">
      <c r="A28" s="16" t="s">
        <v>2314</v>
      </c>
      <c r="B28" s="12" t="s">
        <v>2315</v>
      </c>
    </row>
    <row r="29" customFormat="false" ht="15" hidden="false" customHeight="false" outlineLevel="0" collapsed="false">
      <c r="A29" s="16" t="s">
        <v>2316</v>
      </c>
      <c r="B29" s="13" t="s">
        <v>2317</v>
      </c>
    </row>
    <row r="30" customFormat="false" ht="15" hidden="false" customHeight="false" outlineLevel="0" collapsed="false">
      <c r="A30" s="16" t="s">
        <v>2318</v>
      </c>
      <c r="B30" s="13" t="s">
        <v>2319</v>
      </c>
    </row>
    <row r="31" customFormat="false" ht="15" hidden="false" customHeight="false" outlineLevel="0" collapsed="false">
      <c r="A31" s="16" t="s">
        <v>2320</v>
      </c>
      <c r="B31" s="13" t="s">
        <v>2321</v>
      </c>
    </row>
    <row r="32" customFormat="false" ht="15" hidden="false" customHeight="false" outlineLevel="0" collapsed="false">
      <c r="A32" s="16" t="s">
        <v>2322</v>
      </c>
      <c r="B32" s="12" t="s">
        <v>2323</v>
      </c>
    </row>
    <row r="33" customFormat="false" ht="15" hidden="false" customHeight="false" outlineLevel="0" collapsed="false">
      <c r="A33" s="15"/>
      <c r="B33" s="12"/>
    </row>
    <row r="34" customFormat="false" ht="15" hidden="false" customHeight="false" outlineLevel="0" collapsed="false">
      <c r="A34" s="15" t="s">
        <v>2324</v>
      </c>
      <c r="B34" s="12" t="s">
        <v>2325</v>
      </c>
    </row>
    <row r="35" customFormat="false" ht="15" hidden="false" customHeight="false" outlineLevel="0" collapsed="false">
      <c r="A35" s="15" t="s">
        <v>2326</v>
      </c>
      <c r="B35" s="13" t="s">
        <v>2327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15" hidden="false" customHeight="false" outlineLevel="0" collapsed="false">
      <c r="A1" s="1" t="s">
        <v>2328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6" t="n">
        <v>110</v>
      </c>
      <c r="B2" s="7" t="s">
        <v>14</v>
      </c>
      <c r="C2" s="7" t="s">
        <v>207</v>
      </c>
      <c r="D2" s="8" t="s">
        <v>2329</v>
      </c>
    </row>
    <row r="3" customFormat="false" ht="15" hidden="false" customHeight="false" outlineLevel="0" collapsed="false">
      <c r="A3" s="6" t="n">
        <v>120</v>
      </c>
      <c r="B3" s="7" t="s">
        <v>14</v>
      </c>
      <c r="C3" s="7" t="s">
        <v>207</v>
      </c>
      <c r="D3" s="8" t="s">
        <v>2330</v>
      </c>
    </row>
    <row r="4" customFormat="false" ht="15" hidden="false" customHeight="false" outlineLevel="0" collapsed="false">
      <c r="A4" s="6" t="n">
        <v>166</v>
      </c>
      <c r="B4" s="7" t="s">
        <v>14</v>
      </c>
      <c r="C4" s="7" t="s">
        <v>324</v>
      </c>
      <c r="D4" s="8" t="s">
        <v>2331</v>
      </c>
    </row>
    <row r="5" customFormat="false" ht="29.85" hidden="false" customHeight="false" outlineLevel="0" collapsed="false">
      <c r="A5" s="6" t="n">
        <v>167</v>
      </c>
      <c r="B5" s="7" t="s">
        <v>14</v>
      </c>
      <c r="C5" s="7" t="s">
        <v>324</v>
      </c>
      <c r="D5" s="8" t="s">
        <v>2332</v>
      </c>
    </row>
    <row r="6" customFormat="false" ht="15" hidden="false" customHeight="false" outlineLevel="0" collapsed="false">
      <c r="A6" s="6" t="n">
        <v>174</v>
      </c>
      <c r="B6" s="7" t="s">
        <v>14</v>
      </c>
      <c r="C6" s="7" t="s">
        <v>391</v>
      </c>
      <c r="D6" s="8" t="s">
        <v>2333</v>
      </c>
    </row>
    <row r="7" customFormat="false" ht="15" hidden="false" customHeight="false" outlineLevel="0" collapsed="false">
      <c r="A7" s="6" t="n">
        <v>176</v>
      </c>
      <c r="B7" s="7" t="s">
        <v>14</v>
      </c>
      <c r="C7" s="7" t="s">
        <v>391</v>
      </c>
      <c r="D7" s="9" t="s">
        <v>2334</v>
      </c>
    </row>
    <row r="8" customFormat="false" ht="15" hidden="false" customHeight="false" outlineLevel="0" collapsed="false">
      <c r="A8" s="6" t="n">
        <v>180</v>
      </c>
      <c r="B8" s="7" t="s">
        <v>14</v>
      </c>
      <c r="C8" s="7" t="s">
        <v>391</v>
      </c>
      <c r="D8" s="9" t="s">
        <v>2335</v>
      </c>
    </row>
    <row r="9" customFormat="false" ht="29.85" hidden="false" customHeight="false" outlineLevel="0" collapsed="false">
      <c r="A9" s="6" t="n">
        <v>250</v>
      </c>
      <c r="B9" s="7" t="s">
        <v>1792</v>
      </c>
      <c r="C9" s="7" t="s">
        <v>1900</v>
      </c>
      <c r="D9" s="8" t="s">
        <v>2336</v>
      </c>
    </row>
    <row r="10" customFormat="false" ht="15" hidden="false" customHeight="false" outlineLevel="0" collapsed="false">
      <c r="A10" s="6" t="n">
        <v>347</v>
      </c>
      <c r="B10" s="7" t="s">
        <v>1276</v>
      </c>
      <c r="C10" s="7" t="s">
        <v>1562</v>
      </c>
      <c r="D10" s="8" t="s">
        <v>2337</v>
      </c>
    </row>
    <row r="11" customFormat="false" ht="29.85" hidden="false" customHeight="false" outlineLevel="0" collapsed="false">
      <c r="A11" s="6" t="n">
        <v>485</v>
      </c>
      <c r="B11" s="7" t="s">
        <v>1276</v>
      </c>
      <c r="C11" s="7" t="s">
        <v>1277</v>
      </c>
      <c r="D11" s="8" t="s">
        <v>2338</v>
      </c>
    </row>
    <row r="12" customFormat="false" ht="29.85" hidden="false" customHeight="false" outlineLevel="0" collapsed="false">
      <c r="A12" s="6" t="n">
        <v>738</v>
      </c>
      <c r="B12" s="7" t="s">
        <v>644</v>
      </c>
      <c r="C12" s="7" t="s">
        <v>1243</v>
      </c>
      <c r="D12" s="8" t="s">
        <v>2339</v>
      </c>
    </row>
    <row r="13" customFormat="false" ht="15" hidden="false" customHeight="false" outlineLevel="0" collapsed="false">
      <c r="A13" s="6" t="n">
        <v>1135</v>
      </c>
      <c r="B13" s="6"/>
      <c r="C13" s="6"/>
      <c r="D13" s="8" t="s">
        <v>2340</v>
      </c>
    </row>
    <row r="14" customFormat="false" ht="15" hidden="false" customHeight="false" outlineLevel="0" collapsed="false">
      <c r="A14" s="6" t="n">
        <v>1136</v>
      </c>
      <c r="B14" s="6"/>
      <c r="C14" s="6"/>
      <c r="D14" s="9" t="s">
        <v>2341</v>
      </c>
    </row>
    <row r="15" customFormat="false" ht="15" hidden="false" customHeight="false" outlineLevel="0" collapsed="false">
      <c r="A15" s="6" t="n">
        <v>1137</v>
      </c>
      <c r="B15" s="6"/>
      <c r="C15" s="6"/>
      <c r="D15" s="8" t="s">
        <v>2342</v>
      </c>
    </row>
    <row r="16" customFormat="false" ht="15" hidden="false" customHeight="false" outlineLevel="0" collapsed="false">
      <c r="A16" s="6" t="n">
        <v>1141</v>
      </c>
      <c r="B16" s="6"/>
      <c r="C16" s="6"/>
      <c r="D16" s="8" t="s">
        <v>2343</v>
      </c>
    </row>
    <row r="17" customFormat="false" ht="29.85" hidden="false" customHeight="false" outlineLevel="0" collapsed="false">
      <c r="A17" s="6" t="n">
        <v>1142</v>
      </c>
      <c r="B17" s="6"/>
      <c r="C17" s="6"/>
      <c r="D17" s="8" t="s">
        <v>2344</v>
      </c>
    </row>
    <row r="18" customFormat="false" ht="15" hidden="false" customHeight="false" outlineLevel="0" collapsed="false">
      <c r="A18" s="6" t="n">
        <v>1143</v>
      </c>
      <c r="B18" s="6"/>
      <c r="C18" s="6"/>
      <c r="D18" s="8" t="s">
        <v>2345</v>
      </c>
    </row>
    <row r="19" customFormat="false" ht="15" hidden="false" customHeight="false" outlineLevel="0" collapsed="false">
      <c r="A19" s="6" t="n">
        <v>1144</v>
      </c>
      <c r="B19" s="6"/>
      <c r="C19" s="6"/>
      <c r="D19" s="8" t="s">
        <v>2346</v>
      </c>
    </row>
    <row r="20" customFormat="false" ht="15" hidden="false" customHeight="false" outlineLevel="0" collapsed="false">
      <c r="A20" s="6" t="n">
        <v>1145</v>
      </c>
      <c r="B20" s="6"/>
      <c r="C20" s="6"/>
      <c r="D20" s="8" t="s">
        <v>2347</v>
      </c>
    </row>
    <row r="21" customFormat="false" ht="15" hidden="false" customHeight="false" outlineLevel="0" collapsed="false">
      <c r="A21" s="6" t="n">
        <v>1146</v>
      </c>
      <c r="B21" s="6"/>
      <c r="C21" s="6"/>
      <c r="D21" s="8" t="s">
        <v>2348</v>
      </c>
    </row>
    <row r="22" customFormat="false" ht="29.85" hidden="false" customHeight="false" outlineLevel="0" collapsed="false">
      <c r="A22" s="6" t="n">
        <v>1151</v>
      </c>
      <c r="B22" s="6"/>
      <c r="C22" s="6"/>
      <c r="D22" s="8" t="s">
        <v>2349</v>
      </c>
    </row>
    <row r="23" customFormat="false" ht="15" hidden="false" customHeight="false" outlineLevel="0" collapsed="false">
      <c r="A23" s="6" t="n">
        <v>1152</v>
      </c>
      <c r="B23" s="6"/>
      <c r="C23" s="6"/>
      <c r="D23" s="8" t="s">
        <v>2350</v>
      </c>
    </row>
    <row r="24" customFormat="false" ht="15" hidden="false" customHeight="false" outlineLevel="0" collapsed="false">
      <c r="A24" s="6" t="n">
        <v>1153</v>
      </c>
      <c r="B24" s="6"/>
      <c r="C24" s="6"/>
      <c r="D24" s="8" t="s">
        <v>2351</v>
      </c>
    </row>
    <row r="25" customFormat="false" ht="29.85" hidden="false" customHeight="false" outlineLevel="0" collapsed="false">
      <c r="A25" s="6" t="n">
        <v>1154</v>
      </c>
      <c r="B25" s="6"/>
      <c r="C25" s="6"/>
      <c r="D25" s="8" t="s">
        <v>2352</v>
      </c>
    </row>
    <row r="26" customFormat="false" ht="44" hidden="false" customHeight="false" outlineLevel="0" collapsed="false">
      <c r="A26" s="6" t="n">
        <v>1155</v>
      </c>
      <c r="B26" s="6"/>
      <c r="C26" s="6"/>
      <c r="D26" s="8" t="s">
        <v>2353</v>
      </c>
    </row>
    <row r="27" customFormat="false" ht="29.85" hidden="false" customHeight="false" outlineLevel="0" collapsed="false">
      <c r="A27" s="6" t="n">
        <v>1156</v>
      </c>
      <c r="B27" s="6"/>
      <c r="C27" s="6"/>
      <c r="D27" s="8" t="s">
        <v>2354</v>
      </c>
    </row>
    <row r="28" customFormat="false" ht="15" hidden="false" customHeight="false" outlineLevel="0" collapsed="false">
      <c r="A28" s="6" t="n">
        <v>1157</v>
      </c>
      <c r="B28" s="6"/>
      <c r="C28" s="6"/>
      <c r="D28" s="8" t="s">
        <v>2355</v>
      </c>
    </row>
    <row r="29" customFormat="false" ht="15" hidden="false" customHeight="false" outlineLevel="0" collapsed="false">
      <c r="A29" s="6" t="n">
        <v>1158</v>
      </c>
      <c r="B29" s="6"/>
      <c r="C29" s="6"/>
      <c r="D29" s="8" t="s">
        <v>2356</v>
      </c>
    </row>
    <row r="30" customFormat="false" ht="15" hidden="false" customHeight="false" outlineLevel="0" collapsed="false">
      <c r="A30" s="6" t="n">
        <v>1159</v>
      </c>
      <c r="B30" s="6"/>
      <c r="C30" s="6"/>
      <c r="D30" s="8" t="s">
        <v>2357</v>
      </c>
    </row>
    <row r="31" customFormat="false" ht="15" hidden="false" customHeight="false" outlineLevel="0" collapsed="false">
      <c r="A31" s="6" t="n">
        <v>1160</v>
      </c>
      <c r="B31" s="6"/>
      <c r="C31" s="6"/>
      <c r="D31" s="8" t="s">
        <v>2358</v>
      </c>
    </row>
    <row r="32" customFormat="false" ht="15" hidden="false" customHeight="false" outlineLevel="0" collapsed="false">
      <c r="A32" s="6" t="n">
        <v>1161</v>
      </c>
      <c r="B32" s="6"/>
      <c r="C32" s="6"/>
      <c r="D32" s="8" t="s">
        <v>2359</v>
      </c>
    </row>
    <row r="33" customFormat="false" ht="15" hidden="false" customHeight="false" outlineLevel="0" collapsed="false">
      <c r="A33" s="6" t="n">
        <v>1162</v>
      </c>
      <c r="B33" s="6"/>
      <c r="C33" s="6"/>
      <c r="D33" s="8" t="s">
        <v>2360</v>
      </c>
    </row>
    <row r="34" customFormat="false" ht="15" hidden="false" customHeight="false" outlineLevel="0" collapsed="false">
      <c r="A34" s="6" t="n">
        <v>1163</v>
      </c>
      <c r="B34" s="6"/>
      <c r="C34" s="6"/>
      <c r="D34" s="8" t="s">
        <v>2361</v>
      </c>
    </row>
    <row r="35" customFormat="false" ht="15" hidden="false" customHeight="false" outlineLevel="0" collapsed="false">
      <c r="A35" s="6" t="n">
        <v>1164</v>
      </c>
      <c r="B35" s="6"/>
      <c r="C35" s="6"/>
      <c r="D35" s="8" t="s">
        <v>2362</v>
      </c>
    </row>
    <row r="36" customFormat="false" ht="15" hidden="false" customHeight="false" outlineLevel="0" collapsed="false">
      <c r="A36" s="6" t="n">
        <v>1165</v>
      </c>
      <c r="B36" s="6"/>
      <c r="C36" s="6"/>
      <c r="D36" s="9" t="s">
        <v>2363</v>
      </c>
    </row>
    <row r="37" customFormat="false" ht="15" hidden="false" customHeight="false" outlineLevel="0" collapsed="false">
      <c r="A37" s="6" t="n">
        <v>1166</v>
      </c>
      <c r="B37" s="6"/>
      <c r="C37" s="6"/>
      <c r="D37" s="9" t="s">
        <v>2364</v>
      </c>
    </row>
    <row r="38" customFormat="false" ht="29.85" hidden="false" customHeight="false" outlineLevel="0" collapsed="false">
      <c r="A38" s="6" t="n">
        <v>1167</v>
      </c>
      <c r="B38" s="6"/>
      <c r="C38" s="6"/>
      <c r="D38" s="8" t="s">
        <v>2365</v>
      </c>
    </row>
    <row r="39" customFormat="false" ht="29.85" hidden="false" customHeight="false" outlineLevel="0" collapsed="false">
      <c r="A39" s="6" t="n">
        <v>1168</v>
      </c>
      <c r="B39" s="6"/>
      <c r="C39" s="6"/>
      <c r="D39" s="8" t="s">
        <v>2366</v>
      </c>
    </row>
    <row r="40" customFormat="false" ht="29.85" hidden="false" customHeight="false" outlineLevel="0" collapsed="false">
      <c r="A40" s="6" t="n">
        <v>1169</v>
      </c>
      <c r="B40" s="6"/>
      <c r="C40" s="6"/>
      <c r="D40" s="8" t="s">
        <v>2367</v>
      </c>
    </row>
    <row r="41" customFormat="false" ht="29.85" hidden="false" customHeight="false" outlineLevel="0" collapsed="false">
      <c r="A41" s="6" t="n">
        <v>1170</v>
      </c>
      <c r="B41" s="6"/>
      <c r="C41" s="6"/>
      <c r="D41" s="8" t="s">
        <v>2368</v>
      </c>
    </row>
    <row r="42" customFormat="false" ht="15" hidden="false" customHeight="false" outlineLevel="0" collapsed="false">
      <c r="A42" s="6" t="n">
        <v>1171</v>
      </c>
      <c r="B42" s="6"/>
      <c r="C42" s="6"/>
      <c r="D42" s="8" t="s">
        <v>2369</v>
      </c>
    </row>
    <row r="43" customFormat="false" ht="15" hidden="false" customHeight="false" outlineLevel="0" collapsed="false">
      <c r="A43" s="6" t="n">
        <v>1172</v>
      </c>
      <c r="B43" s="6"/>
      <c r="C43" s="6"/>
      <c r="D43" s="8" t="s">
        <v>2370</v>
      </c>
    </row>
    <row r="44" customFormat="false" ht="15" hidden="false" customHeight="false" outlineLevel="0" collapsed="false">
      <c r="A44" s="6" t="n">
        <v>1173</v>
      </c>
      <c r="B44" s="6"/>
      <c r="C44" s="6"/>
      <c r="D44" s="8" t="s">
        <v>2371</v>
      </c>
    </row>
    <row r="45" customFormat="false" ht="15" hidden="false" customHeight="false" outlineLevel="0" collapsed="false">
      <c r="A45" s="6" t="n">
        <v>1174</v>
      </c>
      <c r="B45" s="6"/>
      <c r="C45" s="6"/>
      <c r="D45" s="8" t="s">
        <v>2372</v>
      </c>
    </row>
    <row r="46" customFormat="false" ht="15" hidden="false" customHeight="false" outlineLevel="0" collapsed="false">
      <c r="A46" s="6" t="n">
        <v>1175</v>
      </c>
      <c r="B46" s="6"/>
      <c r="C46" s="6"/>
      <c r="D46" s="8" t="s">
        <v>2373</v>
      </c>
    </row>
    <row r="47" customFormat="false" ht="29.85" hidden="false" customHeight="false" outlineLevel="0" collapsed="false">
      <c r="A47" s="6" t="n">
        <v>1176</v>
      </c>
      <c r="B47" s="6"/>
      <c r="C47" s="6"/>
      <c r="D47" s="8" t="s">
        <v>2374</v>
      </c>
    </row>
    <row r="48" customFormat="false" ht="29.85" hidden="false" customHeight="false" outlineLevel="0" collapsed="false">
      <c r="A48" s="6" t="n">
        <v>1177</v>
      </c>
      <c r="B48" s="6"/>
      <c r="C48" s="6"/>
      <c r="D48" s="8" t="s">
        <v>2375</v>
      </c>
    </row>
    <row r="49" customFormat="false" ht="15" hidden="false" customHeight="false" outlineLevel="0" collapsed="false">
      <c r="A49" s="6" t="n">
        <v>1178</v>
      </c>
      <c r="B49" s="6"/>
      <c r="C49" s="6"/>
      <c r="D49" s="8" t="s">
        <v>2376</v>
      </c>
    </row>
    <row r="50" customFormat="false" ht="29.85" hidden="false" customHeight="false" outlineLevel="0" collapsed="false">
      <c r="A50" s="6" t="n">
        <v>1179</v>
      </c>
      <c r="B50" s="6"/>
      <c r="C50" s="6"/>
      <c r="D50" s="8" t="s">
        <v>2377</v>
      </c>
    </row>
    <row r="51" customFormat="false" ht="15" hidden="false" customHeight="false" outlineLevel="0" collapsed="false">
      <c r="A51" s="6" t="n">
        <v>1180</v>
      </c>
      <c r="B51" s="6"/>
      <c r="C51" s="6"/>
      <c r="D51" s="8" t="s">
        <v>2378</v>
      </c>
    </row>
    <row r="52" customFormat="false" ht="29.85" hidden="false" customHeight="false" outlineLevel="0" collapsed="false">
      <c r="A52" s="6" t="n">
        <v>1181</v>
      </c>
      <c r="B52" s="7" t="s">
        <v>438</v>
      </c>
      <c r="C52" s="7" t="s">
        <v>473</v>
      </c>
      <c r="D52" s="8" t="s">
        <v>2379</v>
      </c>
    </row>
    <row r="53" customFormat="false" ht="15" hidden="false" customHeight="false" outlineLevel="0" collapsed="false">
      <c r="A53" s="6" t="n">
        <v>1182</v>
      </c>
      <c r="B53" s="6"/>
      <c r="C53" s="6"/>
      <c r="D53" s="8" t="s">
        <v>2380</v>
      </c>
    </row>
    <row r="54" customFormat="false" ht="15" hidden="false" customHeight="false" outlineLevel="0" collapsed="false">
      <c r="A54" s="6" t="n">
        <v>1183</v>
      </c>
      <c r="B54" s="6"/>
      <c r="C54" s="6"/>
      <c r="D54" s="8" t="s">
        <v>2381</v>
      </c>
    </row>
    <row r="55" customFormat="false" ht="29.85" hidden="false" customHeight="false" outlineLevel="0" collapsed="false">
      <c r="A55" s="6" t="n">
        <v>1184</v>
      </c>
      <c r="B55" s="6"/>
      <c r="C55" s="6"/>
      <c r="D55" s="8" t="s">
        <v>2382</v>
      </c>
    </row>
    <row r="56" customFormat="false" ht="29.85" hidden="false" customHeight="false" outlineLevel="0" collapsed="false">
      <c r="A56" s="6" t="n">
        <v>1185</v>
      </c>
      <c r="B56" s="6"/>
      <c r="C56" s="6"/>
      <c r="D56" s="8" t="s">
        <v>2383</v>
      </c>
    </row>
    <row r="57" customFormat="false" ht="15" hidden="false" customHeight="false" outlineLevel="0" collapsed="false">
      <c r="A57" s="6" t="n">
        <v>1186</v>
      </c>
      <c r="B57" s="6"/>
      <c r="C57" s="6"/>
      <c r="D57" s="9" t="s">
        <v>2384</v>
      </c>
    </row>
    <row r="58" customFormat="false" ht="15" hidden="false" customHeight="false" outlineLevel="0" collapsed="false">
      <c r="A58" s="6" t="n">
        <v>1187</v>
      </c>
      <c r="B58" s="6"/>
      <c r="C58" s="6"/>
      <c r="D58" s="8" t="s">
        <v>2385</v>
      </c>
    </row>
    <row r="59" customFormat="false" ht="15" hidden="false" customHeight="false" outlineLevel="0" collapsed="false">
      <c r="A59" s="6" t="n">
        <v>1188</v>
      </c>
      <c r="B59" s="6"/>
      <c r="C59" s="6"/>
      <c r="D59" s="8" t="s">
        <v>2386</v>
      </c>
    </row>
    <row r="60" customFormat="false" ht="15" hidden="false" customHeight="false" outlineLevel="0" collapsed="false">
      <c r="A60" s="6" t="n">
        <v>1189</v>
      </c>
      <c r="B60" s="6"/>
      <c r="C60" s="6"/>
      <c r="D60" s="8" t="s">
        <v>2387</v>
      </c>
    </row>
    <row r="61" customFormat="false" ht="15" hidden="false" customHeight="false" outlineLevel="0" collapsed="false">
      <c r="A61" s="6" t="n">
        <v>1190</v>
      </c>
      <c r="B61" s="6"/>
      <c r="C61" s="6"/>
      <c r="D61" s="8" t="s">
        <v>2388</v>
      </c>
    </row>
    <row r="62" customFormat="false" ht="15" hidden="false" customHeight="false" outlineLevel="0" collapsed="false">
      <c r="A62" s="6" t="n">
        <v>1191</v>
      </c>
      <c r="B62" s="6"/>
      <c r="C62" s="6"/>
      <c r="D62" s="8" t="s">
        <v>2389</v>
      </c>
    </row>
    <row r="63" customFormat="false" ht="15" hidden="false" customHeight="false" outlineLevel="0" collapsed="false">
      <c r="A63" s="6" t="n">
        <v>1192</v>
      </c>
      <c r="B63" s="6"/>
      <c r="C63" s="6"/>
      <c r="D63" s="8" t="s">
        <v>2390</v>
      </c>
    </row>
    <row r="64" customFormat="false" ht="15" hidden="false" customHeight="false" outlineLevel="0" collapsed="false">
      <c r="A64" s="6" t="n">
        <v>1193</v>
      </c>
      <c r="B64" s="6"/>
      <c r="C64" s="6"/>
      <c r="D64" s="8" t="s">
        <v>2391</v>
      </c>
    </row>
    <row r="65" customFormat="false" ht="29.85" hidden="false" customHeight="false" outlineLevel="0" collapsed="false">
      <c r="A65" s="6" t="n">
        <v>1194</v>
      </c>
      <c r="B65" s="6"/>
      <c r="C65" s="6"/>
      <c r="D65" s="8" t="s">
        <v>2392</v>
      </c>
    </row>
    <row r="66" customFormat="false" ht="29.85" hidden="false" customHeight="false" outlineLevel="0" collapsed="false">
      <c r="A66" s="6" t="n">
        <v>1195</v>
      </c>
      <c r="B66" s="6"/>
      <c r="C66" s="6"/>
      <c r="D66" s="8" t="s">
        <v>2393</v>
      </c>
    </row>
    <row r="67" customFormat="false" ht="15" hidden="false" customHeight="false" outlineLevel="0" collapsed="false">
      <c r="A67" s="6" t="n">
        <v>1196</v>
      </c>
      <c r="B67" s="6"/>
      <c r="C67" s="6"/>
      <c r="D67" s="8" t="s">
        <v>2394</v>
      </c>
    </row>
    <row r="68" customFormat="false" ht="15" hidden="false" customHeight="false" outlineLevel="0" collapsed="false">
      <c r="A68" s="6" t="n">
        <v>1197</v>
      </c>
      <c r="B68" s="6"/>
      <c r="C68" s="6"/>
      <c r="D68" s="8" t="s">
        <v>2395</v>
      </c>
    </row>
    <row r="69" customFormat="false" ht="29.85" hidden="false" customHeight="false" outlineLevel="0" collapsed="false">
      <c r="A69" s="6" t="n">
        <v>1198</v>
      </c>
      <c r="B69" s="6"/>
      <c r="C69" s="6"/>
      <c r="D69" s="8" t="s">
        <v>2396</v>
      </c>
    </row>
    <row r="70" customFormat="false" ht="15" hidden="false" customHeight="false" outlineLevel="0" collapsed="false">
      <c r="A70" s="6" t="n">
        <v>1199</v>
      </c>
      <c r="B70" s="6"/>
      <c r="C70" s="6"/>
      <c r="D70" s="8" t="s">
        <v>2397</v>
      </c>
    </row>
    <row r="71" customFormat="false" ht="15" hidden="false" customHeight="false" outlineLevel="0" collapsed="false">
      <c r="A71" s="6" t="n">
        <v>1200</v>
      </c>
      <c r="B71" s="6"/>
      <c r="C71" s="6"/>
      <c r="D71" s="8" t="s">
        <v>2398</v>
      </c>
    </row>
    <row r="72" customFormat="false" ht="15" hidden="false" customHeight="false" outlineLevel="0" collapsed="false">
      <c r="A72" s="6" t="n">
        <v>1201</v>
      </c>
      <c r="B72" s="6"/>
      <c r="C72" s="6"/>
      <c r="D72" s="8" t="s">
        <v>2399</v>
      </c>
    </row>
    <row r="73" customFormat="false" ht="15" hidden="false" customHeight="false" outlineLevel="0" collapsed="false">
      <c r="A73" s="6" t="n">
        <v>1202</v>
      </c>
      <c r="B73" s="6"/>
      <c r="C73" s="6"/>
      <c r="D73" s="8" t="s">
        <v>2400</v>
      </c>
    </row>
    <row r="74" customFormat="false" ht="15" hidden="false" customHeight="false" outlineLevel="0" collapsed="false">
      <c r="A74" s="6" t="n">
        <v>1203</v>
      </c>
      <c r="B74" s="6"/>
      <c r="C74" s="6"/>
      <c r="D74" s="9" t="s">
        <v>2401</v>
      </c>
    </row>
    <row r="75" customFormat="false" ht="15" hidden="false" customHeight="false" outlineLevel="0" collapsed="false">
      <c r="A75" s="6" t="n">
        <v>1204</v>
      </c>
      <c r="B75" s="6"/>
      <c r="C75" s="6"/>
      <c r="D75" s="8" t="s">
        <v>2402</v>
      </c>
    </row>
    <row r="76" customFormat="false" ht="15" hidden="false" customHeight="false" outlineLevel="0" collapsed="false">
      <c r="A76" s="6" t="n">
        <v>1205</v>
      </c>
      <c r="B76" s="6"/>
      <c r="C76" s="6"/>
      <c r="D76" s="8" t="s">
        <v>2403</v>
      </c>
    </row>
    <row r="77" customFormat="false" ht="15" hidden="false" customHeight="false" outlineLevel="0" collapsed="false">
      <c r="A77" s="6" t="n">
        <v>1206</v>
      </c>
      <c r="B77" s="6"/>
      <c r="C77" s="6"/>
      <c r="D77" s="8" t="s">
        <v>2404</v>
      </c>
    </row>
    <row r="78" customFormat="false" ht="15" hidden="false" customHeight="false" outlineLevel="0" collapsed="false">
      <c r="A78" s="6" t="n">
        <v>1207</v>
      </c>
      <c r="B78" s="6"/>
      <c r="C78" s="6"/>
      <c r="D78" s="8" t="s">
        <v>2405</v>
      </c>
    </row>
    <row r="79" customFormat="false" ht="15" hidden="false" customHeight="false" outlineLevel="0" collapsed="false">
      <c r="A79" s="6" t="n">
        <v>1208</v>
      </c>
      <c r="B79" s="6"/>
      <c r="C79" s="6"/>
      <c r="D79" s="8" t="s">
        <v>2406</v>
      </c>
    </row>
    <row r="80" customFormat="false" ht="29.85" hidden="false" customHeight="false" outlineLevel="0" collapsed="false">
      <c r="A80" s="6" t="n">
        <v>1209</v>
      </c>
      <c r="B80" s="6"/>
      <c r="C80" s="6"/>
      <c r="D80" s="9" t="s">
        <v>2407</v>
      </c>
    </row>
    <row r="81" customFormat="false" ht="29.85" hidden="false" customHeight="false" outlineLevel="0" collapsed="false">
      <c r="A81" s="6" t="n">
        <v>1210</v>
      </c>
      <c r="B81" s="6"/>
      <c r="C81" s="6"/>
      <c r="D81" s="8" t="s">
        <v>2408</v>
      </c>
    </row>
    <row r="82" customFormat="false" ht="15" hidden="false" customHeight="false" outlineLevel="0" collapsed="false">
      <c r="A82" s="6" t="n">
        <v>1211</v>
      </c>
      <c r="B82" s="6"/>
      <c r="C82" s="6"/>
      <c r="D82" s="8" t="s">
        <v>2409</v>
      </c>
    </row>
    <row r="83" customFormat="false" ht="29.85" hidden="false" customHeight="false" outlineLevel="0" collapsed="false">
      <c r="A83" s="6" t="n">
        <v>1212</v>
      </c>
      <c r="B83" s="6"/>
      <c r="C83" s="6"/>
      <c r="D83" s="8" t="s">
        <v>2410</v>
      </c>
    </row>
    <row r="84" customFormat="false" ht="15" hidden="false" customHeight="false" outlineLevel="0" collapsed="false">
      <c r="A84" s="6" t="n">
        <v>1213</v>
      </c>
      <c r="B84" s="6"/>
      <c r="C84" s="6"/>
      <c r="D84" s="9" t="s">
        <v>2411</v>
      </c>
    </row>
    <row r="85" customFormat="false" ht="15" hidden="false" customHeight="false" outlineLevel="0" collapsed="false">
      <c r="A85" s="6" t="n">
        <v>1214</v>
      </c>
      <c r="B85" s="6"/>
      <c r="C85" s="6"/>
      <c r="D85" s="8" t="s">
        <v>2412</v>
      </c>
    </row>
    <row r="86" customFormat="false" ht="15" hidden="false" customHeight="false" outlineLevel="0" collapsed="false">
      <c r="A86" s="6" t="n">
        <v>1215</v>
      </c>
      <c r="B86" s="7" t="s">
        <v>438</v>
      </c>
      <c r="C86" s="7" t="s">
        <v>473</v>
      </c>
      <c r="D86" s="8" t="s">
        <v>2413</v>
      </c>
    </row>
    <row r="87" customFormat="false" ht="15" hidden="false" customHeight="false" outlineLevel="0" collapsed="false">
      <c r="A87" s="6" t="n">
        <v>1216</v>
      </c>
      <c r="B87" s="6"/>
      <c r="C87" s="6"/>
      <c r="D87" s="8" t="s">
        <v>2414</v>
      </c>
    </row>
    <row r="88" customFormat="false" ht="29.85" hidden="false" customHeight="false" outlineLevel="0" collapsed="false">
      <c r="A88" s="6" t="n">
        <v>1217</v>
      </c>
      <c r="B88" s="6"/>
      <c r="C88" s="6"/>
      <c r="D88" s="8" t="s">
        <v>2415</v>
      </c>
    </row>
    <row r="89" customFormat="false" ht="29.85" hidden="false" customHeight="false" outlineLevel="0" collapsed="false">
      <c r="A89" s="6" t="n">
        <v>1218</v>
      </c>
      <c r="B89" s="6"/>
      <c r="C89" s="6"/>
      <c r="D89" s="8" t="s">
        <v>2416</v>
      </c>
    </row>
    <row r="90" customFormat="false" ht="15" hidden="false" customHeight="false" outlineLevel="0" collapsed="false">
      <c r="A90" s="6" t="n">
        <v>1219</v>
      </c>
      <c r="B90" s="6"/>
      <c r="C90" s="6"/>
      <c r="D90" s="8" t="s">
        <v>2417</v>
      </c>
    </row>
    <row r="91" customFormat="false" ht="29.85" hidden="false" customHeight="false" outlineLevel="0" collapsed="false">
      <c r="A91" s="6" t="n">
        <v>1220</v>
      </c>
      <c r="B91" s="6"/>
      <c r="C91" s="6"/>
      <c r="D91" s="8" t="s">
        <v>2418</v>
      </c>
    </row>
    <row r="92" customFormat="false" ht="29.85" hidden="false" customHeight="false" outlineLevel="0" collapsed="false">
      <c r="A92" s="6" t="n">
        <v>1221</v>
      </c>
      <c r="B92" s="6"/>
      <c r="C92" s="6"/>
      <c r="D92" s="8" t="s">
        <v>2419</v>
      </c>
    </row>
    <row r="93" customFormat="false" ht="29.85" hidden="false" customHeight="false" outlineLevel="0" collapsed="false">
      <c r="A93" s="6" t="n">
        <v>1222</v>
      </c>
      <c r="B93" s="6"/>
      <c r="C93" s="6"/>
      <c r="D93" s="8" t="s">
        <v>2420</v>
      </c>
    </row>
    <row r="94" customFormat="false" ht="15" hidden="false" customHeight="false" outlineLevel="0" collapsed="false">
      <c r="A94" s="6" t="n">
        <v>1223</v>
      </c>
      <c r="B94" s="6"/>
      <c r="C94" s="6"/>
      <c r="D94" s="8" t="s">
        <v>2421</v>
      </c>
    </row>
    <row r="95" customFormat="false" ht="15" hidden="false" customHeight="false" outlineLevel="0" collapsed="false">
      <c r="A95" s="6" t="n">
        <v>1224</v>
      </c>
      <c r="B95" s="6"/>
      <c r="C95" s="6"/>
      <c r="D95" s="8" t="s">
        <v>2422</v>
      </c>
    </row>
    <row r="96" customFormat="false" ht="15" hidden="false" customHeight="false" outlineLevel="0" collapsed="false">
      <c r="A96" s="6" t="n">
        <v>1225</v>
      </c>
      <c r="B96" s="6"/>
      <c r="C96" s="6"/>
      <c r="D96" s="8" t="s">
        <v>2423</v>
      </c>
    </row>
    <row r="97" customFormat="false" ht="15" hidden="false" customHeight="false" outlineLevel="0" collapsed="false">
      <c r="A97" s="6" t="n">
        <v>1226</v>
      </c>
      <c r="B97" s="6"/>
      <c r="C97" s="6"/>
      <c r="D97" s="8" t="s">
        <v>1185</v>
      </c>
    </row>
    <row r="98" customFormat="false" ht="15" hidden="false" customHeight="false" outlineLevel="0" collapsed="false">
      <c r="A98" s="6" t="n">
        <v>1227</v>
      </c>
      <c r="B98" s="6"/>
      <c r="C98" s="6"/>
      <c r="D98" s="8" t="s">
        <v>2424</v>
      </c>
    </row>
    <row r="99" customFormat="false" ht="15" hidden="false" customHeight="false" outlineLevel="0" collapsed="false">
      <c r="A99" s="6" t="n">
        <v>1228</v>
      </c>
      <c r="B99" s="6"/>
      <c r="C99" s="6"/>
      <c r="D99" s="8" t="s">
        <v>2425</v>
      </c>
    </row>
    <row r="100" customFormat="false" ht="15" hidden="false" customHeight="false" outlineLevel="0" collapsed="false">
      <c r="A100" s="6" t="n">
        <v>1229</v>
      </c>
      <c r="B100" s="6"/>
      <c r="C100" s="6"/>
      <c r="D100" s="8" t="s">
        <v>2426</v>
      </c>
    </row>
    <row r="101" customFormat="false" ht="15" hidden="false" customHeight="false" outlineLevel="0" collapsed="false">
      <c r="A101" s="6" t="n">
        <v>1230</v>
      </c>
      <c r="B101" s="6"/>
      <c r="C101" s="6"/>
      <c r="D101" s="8" t="s">
        <v>2427</v>
      </c>
    </row>
    <row r="102" customFormat="false" ht="15" hidden="false" customHeight="false" outlineLevel="0" collapsed="false">
      <c r="A102" s="6" t="n">
        <v>1231</v>
      </c>
      <c r="B102" s="6"/>
      <c r="C102" s="6"/>
      <c r="D102" s="8" t="s">
        <v>2428</v>
      </c>
    </row>
    <row r="103" customFormat="false" ht="15" hidden="false" customHeight="false" outlineLevel="0" collapsed="false">
      <c r="A103" s="6" t="n">
        <v>1232</v>
      </c>
      <c r="B103" s="6"/>
      <c r="C103" s="6"/>
      <c r="D103" s="9" t="s">
        <v>2429</v>
      </c>
    </row>
    <row r="104" customFormat="false" ht="15" hidden="false" customHeight="false" outlineLevel="0" collapsed="false">
      <c r="A104" s="6" t="n">
        <v>1233</v>
      </c>
      <c r="B104" s="6"/>
      <c r="C104" s="6"/>
      <c r="D104" s="9" t="s">
        <v>2430</v>
      </c>
    </row>
    <row r="105" customFormat="false" ht="15" hidden="false" customHeight="false" outlineLevel="0" collapsed="false">
      <c r="A105" s="6" t="n">
        <v>1234</v>
      </c>
      <c r="B105" s="6"/>
      <c r="C105" s="6"/>
      <c r="D105" s="8" t="s">
        <v>2431</v>
      </c>
    </row>
    <row r="106" customFormat="false" ht="15" hidden="false" customHeight="false" outlineLevel="0" collapsed="false">
      <c r="A106" s="6" t="n">
        <v>1235</v>
      </c>
      <c r="B106" s="7" t="s">
        <v>438</v>
      </c>
      <c r="C106" s="7" t="s">
        <v>473</v>
      </c>
      <c r="D106" s="8" t="s">
        <v>2432</v>
      </c>
    </row>
    <row r="107" customFormat="false" ht="15" hidden="false" customHeight="false" outlineLevel="0" collapsed="false">
      <c r="A107" s="6" t="n">
        <v>1236</v>
      </c>
      <c r="B107" s="6"/>
      <c r="C107" s="6"/>
      <c r="D107" s="8" t="s">
        <v>2433</v>
      </c>
    </row>
    <row r="108" customFormat="false" ht="15" hidden="false" customHeight="false" outlineLevel="0" collapsed="false">
      <c r="A108" s="6" t="n">
        <v>1237</v>
      </c>
      <c r="B108" s="6"/>
      <c r="C108" s="6"/>
      <c r="D108" s="8" t="s">
        <v>2434</v>
      </c>
    </row>
    <row r="109" customFormat="false" ht="15" hidden="false" customHeight="false" outlineLevel="0" collapsed="false">
      <c r="A109" s="6" t="n">
        <v>1238</v>
      </c>
      <c r="B109" s="6"/>
      <c r="C109" s="6"/>
      <c r="D109" s="8" t="s">
        <v>2435</v>
      </c>
    </row>
    <row r="110" customFormat="false" ht="15" hidden="false" customHeight="false" outlineLevel="0" collapsed="false">
      <c r="A110" s="6" t="n">
        <v>1239</v>
      </c>
      <c r="B110" s="6"/>
      <c r="C110" s="6"/>
      <c r="D110" s="8" t="s">
        <v>2436</v>
      </c>
    </row>
    <row r="111" customFormat="false" ht="15" hidden="false" customHeight="false" outlineLevel="0" collapsed="false">
      <c r="A111" s="6" t="n">
        <v>1240</v>
      </c>
      <c r="B111" s="6"/>
      <c r="C111" s="6"/>
      <c r="D111" s="8" t="s">
        <v>2437</v>
      </c>
    </row>
    <row r="112" customFormat="false" ht="15" hidden="false" customHeight="false" outlineLevel="0" collapsed="false">
      <c r="A112" s="6" t="n">
        <v>1241</v>
      </c>
      <c r="B112" s="6"/>
      <c r="C112" s="6"/>
      <c r="D112" s="8" t="s">
        <v>2438</v>
      </c>
    </row>
    <row r="113" customFormat="false" ht="29.85" hidden="false" customHeight="false" outlineLevel="0" collapsed="false">
      <c r="A113" s="6" t="n">
        <v>1242</v>
      </c>
      <c r="B113" s="7" t="s">
        <v>438</v>
      </c>
      <c r="C113" s="7" t="s">
        <v>473</v>
      </c>
      <c r="D113" s="8" t="s">
        <v>2439</v>
      </c>
    </row>
    <row r="114" customFormat="false" ht="15" hidden="false" customHeight="false" outlineLevel="0" collapsed="false">
      <c r="A114" s="6" t="n">
        <v>1243</v>
      </c>
      <c r="B114" s="6"/>
      <c r="C114" s="6"/>
      <c r="D114" s="8" t="s">
        <v>2440</v>
      </c>
    </row>
    <row r="115" customFormat="false" ht="29.85" hidden="false" customHeight="false" outlineLevel="0" collapsed="false">
      <c r="A115" s="6" t="n">
        <v>1244</v>
      </c>
      <c r="B115" s="6"/>
      <c r="C115" s="6"/>
      <c r="D115" s="8" t="s">
        <v>2441</v>
      </c>
    </row>
    <row r="116" customFormat="false" ht="15" hidden="false" customHeight="false" outlineLevel="0" collapsed="false">
      <c r="A116" s="6" t="n">
        <v>1245</v>
      </c>
      <c r="B116" s="6"/>
      <c r="C116" s="6"/>
      <c r="D116" s="8" t="s">
        <v>2442</v>
      </c>
    </row>
    <row r="117" customFormat="false" ht="15" hidden="false" customHeight="false" outlineLevel="0" collapsed="false">
      <c r="A117" s="6" t="n">
        <v>1246</v>
      </c>
      <c r="B117" s="6"/>
      <c r="C117" s="6"/>
      <c r="D117" s="8" t="s">
        <v>2443</v>
      </c>
    </row>
    <row r="118" customFormat="false" ht="29.85" hidden="false" customHeight="false" outlineLevel="0" collapsed="false">
      <c r="A118" s="6" t="n">
        <v>1247</v>
      </c>
      <c r="B118" s="6"/>
      <c r="C118" s="6"/>
      <c r="D118" s="8" t="s">
        <v>2444</v>
      </c>
    </row>
    <row r="119" customFormat="false" ht="29.85" hidden="false" customHeight="false" outlineLevel="0" collapsed="false">
      <c r="A119" s="6" t="n">
        <v>1248</v>
      </c>
      <c r="B119" s="6"/>
      <c r="C119" s="6"/>
      <c r="D119" s="9" t="s">
        <v>2445</v>
      </c>
    </row>
    <row r="120" customFormat="false" ht="29.85" hidden="false" customHeight="false" outlineLevel="0" collapsed="false">
      <c r="A120" s="6" t="n">
        <v>1249</v>
      </c>
      <c r="B120" s="6"/>
      <c r="C120" s="6"/>
      <c r="D120" s="8" t="s">
        <v>2446</v>
      </c>
    </row>
    <row r="121" customFormat="false" ht="29.85" hidden="false" customHeight="false" outlineLevel="0" collapsed="false">
      <c r="A121" s="6" t="n">
        <v>1250</v>
      </c>
      <c r="B121" s="6"/>
      <c r="C121" s="6"/>
      <c r="D121" s="8" t="s">
        <v>2447</v>
      </c>
    </row>
    <row r="123" customFormat="false" ht="15" hidden="false" customHeight="false" outlineLevel="0" collapsed="false">
      <c r="A123" s="17" t="s">
        <v>2448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2026-09-05T08:48:40Z</dcterms:created>
  <dc:creator>openpyxl</dc:creator>
  <dc:description/>
  <dc:language>en-US</dc:language>
  <cp:lastModifiedBy/>
  <dcterms:modified xsi:type="dcterms:W3CDTF">2026-09-05T08:48:41Z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